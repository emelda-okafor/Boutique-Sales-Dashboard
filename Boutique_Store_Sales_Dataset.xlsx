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564F1708-ED7B-414C-9D11-DF0E127B7B3A}" xr6:coauthVersionLast="47" xr6:coauthVersionMax="47" xr10:uidLastSave="{00000000-0000-0000-0000-000000000000}"/>
  <bookViews>
    <workbookView xWindow="-120" yWindow="-120" windowWidth="20730" windowHeight="11160" firstSheet="4" activeTab="11" xr2:uid="{00000000-000D-0000-FFFF-FFFF00000000}"/>
  </bookViews>
  <sheets>
    <sheet name="Sheet1" sheetId="4" r:id="rId1"/>
    <sheet name="Sheet2" sheetId="6" r:id="rId2"/>
    <sheet name="Sheet3" sheetId="7" r:id="rId3"/>
    <sheet name="Sheet5" sheetId="8" r:id="rId4"/>
    <sheet name="Sheet4" sheetId="9" r:id="rId5"/>
    <sheet name="Sheet6" sheetId="10" r:id="rId6"/>
    <sheet name="Sheet8" sheetId="12" r:id="rId7"/>
    <sheet name="Sheet10" sheetId="14" r:id="rId8"/>
    <sheet name="Sheet9" sheetId="15" r:id="rId9"/>
    <sheet name="Cleaned Data" sheetId="3" r:id="rId10"/>
    <sheet name="BoutiqueSales" sheetId="1" r:id="rId11"/>
    <sheet name="Dashboard" sheetId="2" r:id="rId12"/>
  </sheets>
  <definedNames>
    <definedName name="Slicer_City">#N/A</definedName>
    <definedName name="Slicer_Order_Date">#N/A</definedName>
    <definedName name="Slicer_Payment_Method">#N/A</definedName>
    <definedName name="Slicer_Product_Category">#N/A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8" i="2" l="1"/>
  <c r="V17" i="2"/>
  <c r="V16" i="2"/>
  <c r="V19" i="2"/>
</calcChain>
</file>

<file path=xl/sharedStrings.xml><?xml version="1.0" encoding="utf-8"?>
<sst xmlns="http://schemas.openxmlformats.org/spreadsheetml/2006/main" count="6091" uniqueCount="389">
  <si>
    <t>Order ID</t>
  </si>
  <si>
    <t>Order Date</t>
  </si>
  <si>
    <t>Customer Name</t>
  </si>
  <si>
    <t>Gender</t>
  </si>
  <si>
    <t>Age</t>
  </si>
  <si>
    <t>City</t>
  </si>
  <si>
    <t>Product Category</t>
  </si>
  <si>
    <t>Product</t>
  </si>
  <si>
    <t>Size</t>
  </si>
  <si>
    <t>Color</t>
  </si>
  <si>
    <t>Quantity</t>
  </si>
  <si>
    <t>Unit Price</t>
  </si>
  <si>
    <t>Discount (%)</t>
  </si>
  <si>
    <t>Sales</t>
  </si>
  <si>
    <t>Cost</t>
  </si>
  <si>
    <t>Profit</t>
  </si>
  <si>
    <t>Payment Method</t>
  </si>
  <si>
    <t>Salesperson</t>
  </si>
  <si>
    <t>ORD1002</t>
  </si>
  <si>
    <t>Grace</t>
  </si>
  <si>
    <t>Male</t>
  </si>
  <si>
    <t>Enugu</t>
  </si>
  <si>
    <t>Dresses</t>
  </si>
  <si>
    <t>Bodycon Dress</t>
  </si>
  <si>
    <t>M</t>
  </si>
  <si>
    <t>Beige</t>
  </si>
  <si>
    <t>POS</t>
  </si>
  <si>
    <t>Chi</t>
  </si>
  <si>
    <t>ORD1003</t>
  </si>
  <si>
    <t>Miriam</t>
  </si>
  <si>
    <t>Port Harcourt</t>
  </si>
  <si>
    <t>S</t>
  </si>
  <si>
    <t>Red</t>
  </si>
  <si>
    <t>Maya</t>
  </si>
  <si>
    <t>ORD1004</t>
  </si>
  <si>
    <t>Esther</t>
  </si>
  <si>
    <t>Tops</t>
  </si>
  <si>
    <t>Crop Top</t>
  </si>
  <si>
    <t>Ella</t>
  </si>
  <si>
    <t>ORD1005</t>
  </si>
  <si>
    <t>Precious</t>
  </si>
  <si>
    <t>Female</t>
  </si>
  <si>
    <t>Ibadan</t>
  </si>
  <si>
    <t>Bags</t>
  </si>
  <si>
    <t>Handbag</t>
  </si>
  <si>
    <t>L</t>
  </si>
  <si>
    <t>Pink</t>
  </si>
  <si>
    <t>Transfer</t>
  </si>
  <si>
    <t>ORD1006</t>
  </si>
  <si>
    <t>Abuja</t>
  </si>
  <si>
    <t>Trousers</t>
  </si>
  <si>
    <t>Jeans</t>
  </si>
  <si>
    <t>Black</t>
  </si>
  <si>
    <t>ORD1007</t>
  </si>
  <si>
    <t>John</t>
  </si>
  <si>
    <t>ORD1008</t>
  </si>
  <si>
    <t>Chioma</t>
  </si>
  <si>
    <t>Palazzo Pants</t>
  </si>
  <si>
    <t>Tobi</t>
  </si>
  <si>
    <t>ORD1009</t>
  </si>
  <si>
    <t>Tote Bag</t>
  </si>
  <si>
    <t>ORD1010</t>
  </si>
  <si>
    <t>Amara</t>
  </si>
  <si>
    <t>ORD1011</t>
  </si>
  <si>
    <t>Cash</t>
  </si>
  <si>
    <t>ORD1012</t>
  </si>
  <si>
    <t>Blue</t>
  </si>
  <si>
    <t>ORD1013</t>
  </si>
  <si>
    <t>Lagos</t>
  </si>
  <si>
    <t>Shoes</t>
  </si>
  <si>
    <t>Heels</t>
  </si>
  <si>
    <t>XL</t>
  </si>
  <si>
    <t>ORD1014</t>
  </si>
  <si>
    <t>Favour</t>
  </si>
  <si>
    <t>Maxi Dress</t>
  </si>
  <si>
    <t>ORD1015</t>
  </si>
  <si>
    <t>Blouse</t>
  </si>
  <si>
    <t>ORD1016</t>
  </si>
  <si>
    <t>Joy</t>
  </si>
  <si>
    <t>ORD1017</t>
  </si>
  <si>
    <t>ORD1018</t>
  </si>
  <si>
    <t>Daniel</t>
  </si>
  <si>
    <t>Sneakers</t>
  </si>
  <si>
    <t>ORD1019</t>
  </si>
  <si>
    <t>ORD1020</t>
  </si>
  <si>
    <t>ORD1021</t>
  </si>
  <si>
    <t>Michael</t>
  </si>
  <si>
    <t>ORD1022</t>
  </si>
  <si>
    <t>ORD1023</t>
  </si>
  <si>
    <t>Deborah</t>
  </si>
  <si>
    <t>ORD1024</t>
  </si>
  <si>
    <t>Ada</t>
  </si>
  <si>
    <t>ORD1025</t>
  </si>
  <si>
    <t>ORD1026</t>
  </si>
  <si>
    <t>ORD1027</t>
  </si>
  <si>
    <t>White</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</si>
  <si>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</si>
  <si>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</si>
  <si>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</si>
  <si>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</si>
  <si>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</si>
  <si>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</si>
  <si>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</si>
  <si>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</si>
  <si>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</si>
  <si>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</si>
  <si>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</si>
  <si>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</si>
  <si>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</si>
  <si>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</si>
  <si>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</si>
  <si>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</si>
  <si>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</si>
  <si>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</si>
  <si>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</si>
  <si>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</si>
  <si>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</si>
  <si>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</si>
  <si>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</si>
  <si>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</si>
  <si>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</si>
  <si>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</si>
  <si>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</si>
  <si>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</si>
  <si>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</si>
  <si>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</si>
  <si>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</si>
  <si>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</si>
  <si>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</si>
  <si>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</si>
  <si>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</si>
  <si>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</si>
  <si>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</si>
  <si>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</si>
  <si>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</si>
  <si>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</si>
  <si>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</si>
  <si>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</si>
  <si>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</si>
  <si>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</si>
  <si>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</si>
  <si>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</si>
  <si>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</si>
  <si>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</si>
  <si>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</si>
  <si>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</si>
  <si>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</si>
  <si>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</si>
  <si>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</si>
  <si>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</si>
  <si>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</si>
  <si>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</si>
  <si>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</si>
  <si>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</si>
  <si>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</si>
  <si>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</si>
  <si>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</si>
  <si>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</si>
  <si>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</si>
  <si>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</si>
  <si>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</si>
  <si>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</si>
  <si>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</si>
  <si>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</si>
  <si>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</si>
  <si>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</si>
  <si>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</si>
  <si>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</si>
  <si>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</si>
  <si>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</si>
  <si>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</si>
  <si>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</si>
  <si>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</si>
  <si>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</si>
  <si>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</si>
  <si>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</si>
  <si>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</si>
  <si>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</si>
  <si>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</si>
  <si>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</si>
  <si>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</si>
  <si>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</si>
  <si>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</si>
  <si>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</si>
  <si>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</si>
  <si>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</si>
  <si>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</si>
  <si>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</si>
  <si>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</si>
  <si>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</si>
  <si>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</si>
  <si>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</si>
  <si>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</si>
  <si>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</si>
  <si>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</si>
  <si>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</si>
  <si>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</si>
  <si>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</si>
  <si>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</si>
  <si>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</si>
  <si>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</si>
  <si>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</si>
  <si>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</si>
  <si>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</si>
  <si>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</si>
  <si>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</si>
  <si>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</si>
  <si>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</si>
  <si>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</si>
  <si>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</si>
  <si>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</si>
  <si>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</si>
  <si>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</si>
  <si>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</si>
  <si>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</si>
  <si>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</si>
  <si>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</si>
  <si>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</si>
  <si>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</si>
  <si>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</si>
  <si>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</si>
  <si>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</si>
  <si>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</si>
  <si>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</si>
  <si>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</si>
  <si>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</si>
  <si>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</si>
  <si>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</si>
  <si>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</si>
  <si>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</si>
  <si>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</si>
  <si>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</si>
  <si>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</si>
  <si>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</si>
  <si>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</si>
  <si>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</si>
  <si>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</si>
  <si>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</si>
  <si>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</si>
  <si>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</si>
  <si>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</si>
  <si>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</si>
  <si>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</si>
  <si>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</si>
  <si>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</si>
  <si>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</si>
  <si>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</si>
  <si>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</si>
  <si>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</si>
  <si>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</si>
  <si>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</si>
  <si>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</si>
  <si>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</si>
  <si>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</si>
  <si>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</si>
  <si>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</si>
  <si>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</si>
  <si>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</si>
  <si>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</si>
  <si>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</si>
  <si>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</si>
  <si>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</si>
  <si>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</si>
  <si>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</si>
  <si>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</si>
  <si>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</si>
  <si>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</si>
  <si>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</si>
  <si>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</si>
  <si>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</si>
  <si>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</si>
  <si>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</si>
  <si>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</si>
  <si>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</si>
  <si>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</si>
  <si>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</si>
  <si>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</si>
  <si>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</si>
  <si>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</si>
  <si>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</si>
  <si>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</si>
  <si>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</si>
  <si>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</si>
  <si>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</si>
  <si>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</si>
  <si>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</si>
  <si>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</si>
  <si>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</si>
  <si>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</si>
  <si>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</si>
  <si>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</si>
  <si>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</si>
  <si>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</si>
  <si>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</si>
  <si>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</si>
  <si>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</si>
  <si>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</si>
  <si>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</si>
  <si>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</si>
  <si>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</si>
  <si>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</si>
  <si>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</si>
  <si>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</si>
  <si>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</si>
  <si>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</si>
  <si>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</si>
  <si>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</si>
  <si>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</si>
  <si>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</si>
  <si>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</si>
  <si>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</si>
  <si>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</si>
  <si>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</si>
  <si>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</si>
  <si>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</si>
  <si>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</si>
  <si>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</si>
  <si>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</si>
  <si>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</si>
  <si>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</si>
  <si>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</si>
  <si>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</si>
  <si>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</si>
  <si>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</si>
  <si>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</si>
  <si>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</si>
  <si>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</si>
  <si>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</si>
  <si>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</si>
  <si>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</si>
  <si>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</si>
  <si>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</si>
  <si>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</si>
  <si>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</si>
  <si>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</si>
  <si>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</si>
  <si>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</si>
  <si>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</si>
  <si>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</si>
  <si>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</si>
  <si>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</si>
  <si>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</si>
  <si>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</si>
  <si>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</si>
  <si>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</si>
  <si>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</si>
  <si>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</si>
  <si>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</si>
  <si>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</si>
  <si>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</si>
  <si>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</si>
  <si>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</si>
  <si>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</si>
  <si>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</si>
  <si>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</si>
  <si>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</si>
  <si>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</si>
  <si>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</si>
  <si>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</si>
  <si>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</si>
  <si>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</si>
  <si>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</si>
  <si>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</si>
  <si>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</si>
  <si>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</si>
  <si>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</si>
  <si>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</si>
  <si>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</si>
  <si>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</si>
  <si>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</si>
  <si>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Sum of Sales</t>
  </si>
  <si>
    <t>Sum of Profit</t>
  </si>
  <si>
    <t>Count of Customer Name</t>
  </si>
  <si>
    <t>Row Labels</t>
  </si>
  <si>
    <t>Grand Total</t>
  </si>
  <si>
    <t>Count of Order ID</t>
  </si>
  <si>
    <t>Jan</t>
  </si>
  <si>
    <t>Feb</t>
  </si>
  <si>
    <t>Mar</t>
  </si>
  <si>
    <t>Apr</t>
  </si>
  <si>
    <t>May</t>
  </si>
  <si>
    <t>Jun</t>
  </si>
  <si>
    <t>Jul</t>
  </si>
  <si>
    <t>Aug</t>
  </si>
  <si>
    <t>Sep</t>
  </si>
  <si>
    <t>Oct</t>
  </si>
  <si>
    <t>Nov</t>
  </si>
  <si>
    <t>Dec</t>
  </si>
  <si>
    <t>Created by Emelda Okafor | Excel Dashboard Project |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</si>
</sst>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yyyy\-mm\-dd\ h:mm:ss"/>
    <numFmt numFmtId="165" formatCode="_(* #,##0_);_(* \(#,##0\);_(* &quot;-&quot;??_);_(@_)"/>
    <numFmt numFmtId="166" formatCode="[$₦-466]\ #,##0;\-[$₦-466]\ #,##0"/>
    <numFmt numFmtId="167" formatCode="\₦0.00,,&quot;M&quot;"/>
  </numFmts>
  <fonts count="5" x14ac:knownFonts="1">
    <font>
      <sz val="11"/>
      <color theme="1"/>
      <name val="Rockwell"/>
      <family val="2"/>
      <scheme val="minor"/>
    </font>
    <font>
      <sz val="11"/>
      <color theme="1"/>
      <name val="Rockwell"/>
      <family val="2"/>
      <scheme val="minor"/>
    </font>
    <font>
      <b/>
      <sz val="11"/>
      <color theme="1"/>
      <name val="Rockwell"/>
      <family val="2"/>
      <scheme val="minor"/>
    </font>
    <font>
      <sz val="11"/>
      <color theme="1" tint="4.9989318521683403E-2"/>
      <name val="Rockwell"/>
      <family val="2"/>
      <scheme val="minor"/>
    </font>
    <font>
      <b/>
      <sz val="11"/>
      <color theme="1"/>
      <name val="Rockwell"/>
      <family val="1"/>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xf numFmtId="43" fontId="0" fillId="0" borderId="0" xfId="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1" applyNumberFormat="1" applyFont="1"/>
    <xf numFmtId="165" fontId="0" fillId="0" borderId="0" xfId="0" applyNumberFormat="1"/>
    <xf numFmtId="0" fontId="2" fillId="0" borderId="0" xfId="0" applyFont="1" applyAlignment="1">
      <alignment horizontal="left" vertical="center" indent="1"/>
    </xf>
    <xf numFmtId="166" fontId="0" fillId="0" borderId="0" xfId="0" applyNumberFormat="1"/>
    <xf numFmtId="0" fontId="0" fillId="2" borderId="0" xfId="0" applyFill="1"/>
    <xf numFmtId="166" fontId="3" fillId="0" borderId="0" xfId="0" applyNumberFormat="1" applyFont="1"/>
    <xf numFmtId="166" fontId="0" fillId="0" borderId="0" xfId="1" applyNumberFormat="1" applyFont="1" applyAlignment="1">
      <alignment horizontal="center" vertical="center"/>
    </xf>
    <xf numFmtId="167" fontId="0" fillId="0" borderId="0" xfId="1" applyNumberFormat="1" applyFont="1"/>
    <xf numFmtId="0" fontId="4" fillId="0" borderId="0" xfId="0" applyFont="1"/>
  </cellXfs>
  <cellStyles count="2">
    <cellStyle name="Comma" xfId="1" builtinId="3"/>
    <cellStyle name="Normal" xfId="0" builtinId="0"/>
  </cellStyles>
  <dxfs count="41">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466]\ #,##0;\-[$₦-466]\ #,##0"/>
      <alignment horizontal="center" vertical="center" textRotation="0" wrapText="0" indent="0" justifyLastLine="0" shrinkToFit="0" readingOrder="0"/>
    </dxf>
    <dxf>
      <numFmt numFmtId="166" formatCode="[$₦-466]\ #,##0;\-[$₦-466]\ #,##0"/>
      <alignment horizontal="center" vertical="center" textRotation="0" wrapText="0" indent="0" justifyLastLine="0" shrinkToFit="0" readingOrder="0"/>
    </dxf>
    <dxf>
      <numFmt numFmtId="166" formatCode="[$₦-466]\ #,##0;\-[$₦-466]\ #,##0"/>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466]\ #,##0;\-[$₦-466]\ #,##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h:mm:ss"/>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466]\ #,##0;\-[$₦-466]\ #,##0"/>
    </dxf>
    <dxf>
      <numFmt numFmtId="165" formatCode="_(* #,##0_);_(* \(#,##0\);_(* &quot;-&quot;??_);_(@_)"/>
    </dxf>
    <dxf>
      <numFmt numFmtId="165" formatCode="_(* #,##0_);_(* \(#,##0\);_(* &quot;-&quot;??_);_(@_)"/>
    </dxf>
    <dxf>
      <numFmt numFmtId="166" formatCode="[$₦-466]\ #,##0;\-[$₦-466]\ #,##0"/>
    </dxf>
    <dxf>
      <numFmt numFmtId="165" formatCode="_(* #,##0_);_(* \(#,##0\);_(* &quot;-&quot;??_);_(@_)"/>
    </dxf>
    <dxf>
      <numFmt numFmtId="165" formatCode="_(* #,##0_);_(* \(#,##0\);_(* &quot;-&quot;??_);_(@_)"/>
    </dxf>
    <dxf>
      <numFmt numFmtId="166" formatCode="[$₦-466]\ #,##0;\-[$₦-466]\ #,##0"/>
    </dxf>
    <dxf>
      <numFmt numFmtId="165" formatCode="_(* #,##0_);_(* \(#,##0\);_(* &quot;-&quot;??_);_(@_)"/>
    </dxf>
    <dxf>
      <numFmt numFmtId="165" formatCode="_(* #,##0_);_(* \(#,##0\);_(* &quot;-&quot;??_);_(@_)"/>
    </dxf>
    <dxf>
      <numFmt numFmtId="166" formatCode="[$₦-466]\ #,##0;\-[$₦-466]\ #,##0"/>
    </dxf>
    <dxf>
      <numFmt numFmtId="165" formatCode="_(* #,##0_);_(* \(#,##0\);_(* &quot;-&quot;??_);_(@_)"/>
    </dxf>
    <dxf>
      <numFmt numFmtId="165" formatCode="_(* #,##0_);_(* \(#,##0\);_(* &quot;-&quot;??_);_(@_)"/>
    </dxf>
    <dxf>
      <numFmt numFmtId="166" formatCode="[$₦-466]\ #,##0;\-[$₦-466]\ #,##0"/>
    </dxf>
    <dxf>
      <numFmt numFmtId="165" formatCode="_(* #,##0_);_(* \(#,##0\);_(* &quot;-&quot;??_);_(@_)"/>
    </dxf>
    <dxf>
      <numFmt numFmtId="165" formatCode="_(* #,##0_);_(* \(#,##0\);_(* &quot;-&quot;??_);_(@_)"/>
    </dxf>
    <dxf>
      <numFmt numFmtId="165" formatCode="_(* #,##0_);_(* \(#,##0\);_(* &quot;-&quot;??_);_(@_)"/>
    </dxf>
    <dxf>
      <numFmt numFmtId="166" formatCode="[$₦-466]\ #,##0;\-[$₦-466]\ #,##0"/>
    </dxf>
    <dxf>
      <font>
        <color theme="1" tint="4.9989318521683403E-2"/>
      </font>
    </dxf>
    <dxf>
      <fill>
        <patternFill>
          <bgColor theme="4" tint="0.79998168889431442"/>
        </patternFill>
      </fill>
    </dxf>
    <dxf>
      <fill>
        <patternFill patternType="solid">
          <bgColor theme="4"/>
        </patternFill>
      </fill>
    </dxf>
    <dxf>
      <numFmt numFmtId="165" formatCode="_(* #,##0_);_(* \(#,##0\);_(* &quot;-&quot;??_);_(@_)"/>
    </dxf>
  </dxfs>
  <tableStyles count="0" defaultTableStyle="TableStyleMedium9" defaultPivotStyle="PivotStyleLight16"/>
  <colors>
    <mruColors>
      <color rgb="FFF141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Shoes</c:v>
                </c:pt>
                <c:pt idx="1">
                  <c:v>Dresses</c:v>
                </c:pt>
                <c:pt idx="2">
                  <c:v>Bags</c:v>
                </c:pt>
                <c:pt idx="3">
                  <c:v>Trousers</c:v>
                </c:pt>
                <c:pt idx="4">
                  <c:v>Tops</c:v>
                </c:pt>
              </c:strCache>
            </c:strRef>
          </c:cat>
          <c:val>
            <c:numRef>
              <c:f>Sheet5!$B$4:$B$9</c:f>
              <c:numCache>
                <c:formatCode>[$₦-466]\ #,##0;\-[$₦-466]\ #,##0</c:formatCode>
                <c:ptCount val="5"/>
                <c:pt idx="0">
                  <c:v>3612100</c:v>
                </c:pt>
                <c:pt idx="1">
                  <c:v>2550000</c:v>
                </c:pt>
                <c:pt idx="2">
                  <c:v>2103500</c:v>
                </c:pt>
                <c:pt idx="3">
                  <c:v>2085000</c:v>
                </c:pt>
                <c:pt idx="4">
                  <c:v>980100</c:v>
                </c:pt>
              </c:numCache>
            </c:numRef>
          </c:val>
          <c:extLst>
            <c:ext xmlns:c16="http://schemas.microsoft.com/office/drawing/2014/chart" uri="{C3380CC4-5D6E-409C-BE32-E72D297353CC}">
              <c16:uniqueId val="{00000000-14AB-428B-A075-23D9290FB70D}"/>
            </c:ext>
          </c:extLst>
        </c:ser>
        <c:dLbls>
          <c:showLegendKey val="0"/>
          <c:showVal val="0"/>
          <c:showCatName val="0"/>
          <c:showSerName val="0"/>
          <c:showPercent val="0"/>
          <c:showBubbleSize val="0"/>
        </c:dLbls>
        <c:gapWidth val="219"/>
        <c:overlap val="-27"/>
        <c:axId val="1372543311"/>
        <c:axId val="1372545807"/>
      </c:barChart>
      <c:catAx>
        <c:axId val="13725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45807"/>
        <c:crosses val="autoZero"/>
        <c:auto val="1"/>
        <c:lblAlgn val="ctr"/>
        <c:lblOffset val="100"/>
        <c:noMultiLvlLbl val="0"/>
      </c:catAx>
      <c:valAx>
        <c:axId val="1372545807"/>
        <c:scaling>
          <c:orientation val="minMax"/>
        </c:scaling>
        <c:delete val="0"/>
        <c:axPos val="l"/>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4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[Boutique_Store_Sales_Dataset.xlsx]Sheet6!PivotTable6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Enugu</c:v>
                </c:pt>
                <c:pt idx="1">
                  <c:v>Abuja</c:v>
                </c:pt>
                <c:pt idx="2">
                  <c:v>Lagos</c:v>
                </c:pt>
                <c:pt idx="3">
                  <c:v>Port Harcourt</c:v>
                </c:pt>
                <c:pt idx="4">
                  <c:v>Ibadan</c:v>
                </c:pt>
              </c:strCache>
            </c:strRef>
          </c:cat>
          <c:val>
            <c:numRef>
              <c:f>Sheet6!$B$4:$B$9</c:f>
              <c:numCache>
                <c:formatCode>[$₦-466]\ #,##0;\-[$₦-466]\ #,##0</c:formatCode>
                <c:ptCount val="5"/>
                <c:pt idx="0">
                  <c:v>2611900</c:v>
                </c:pt>
                <c:pt idx="1">
                  <c:v>2476600</c:v>
                </c:pt>
                <c:pt idx="2">
                  <c:v>2266950</c:v>
                </c:pt>
                <c:pt idx="3">
                  <c:v>2097650</c:v>
                </c:pt>
                <c:pt idx="4">
                  <c:v>1877600</c:v>
                </c:pt>
              </c:numCache>
            </c:numRef>
          </c:val>
          <c:extLst>
            <c:ext xmlns:c16="http://schemas.microsoft.com/office/drawing/2014/chart" uri="{C3380CC4-5D6E-409C-BE32-E72D297353CC}">
              <c16:uniqueId val="{00000000-4445-44BD-BC5E-C759D071F041}"/>
            </c:ext>
          </c:extLst>
        </c:ser>
        <c:dLbls>
          <c:showLegendKey val="0"/>
          <c:showVal val="0"/>
          <c:showCatName val="0"/>
          <c:showSerName val="0"/>
          <c:showPercent val="0"/>
          <c:showBubbleSize val="0"/>
        </c:dLbls>
        <c:gapWidth val="182"/>
        <c:axId val="1448389999"/>
        <c:axId val="1448391247"/>
      </c:barChart>
      <c:catAx>
        <c:axId val="144838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391247"/>
        <c:crosses val="autoZero"/>
        <c:auto val="1"/>
        <c:lblAlgn val="ctr"/>
        <c:lblOffset val="100"/>
        <c:noMultiLvlLbl val="0"/>
      </c:catAx>
      <c:valAx>
        <c:axId val="1448391247"/>
        <c:scaling>
          <c:orientation val="minMax"/>
        </c:scaling>
        <c:delete val="0"/>
        <c:axPos val="b"/>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38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Product</a:t>
            </a:r>
          </a:p>
        </c:rich>
      </c:tx>
      <c:layout>
        <c:manualLayout>
          <c:xMode val="edge"/>
          <c:yMode val="edge"/>
          <c:x val="0.3202777777777777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Heels</c:v>
                </c:pt>
                <c:pt idx="1">
                  <c:v>Sneakers</c:v>
                </c:pt>
                <c:pt idx="2">
                  <c:v>Maxi Dress</c:v>
                </c:pt>
                <c:pt idx="3">
                  <c:v>Handbag</c:v>
                </c:pt>
                <c:pt idx="4">
                  <c:v>Jeans</c:v>
                </c:pt>
                <c:pt idx="5">
                  <c:v>Bodycon Dress</c:v>
                </c:pt>
                <c:pt idx="6">
                  <c:v>Palazzo Pants</c:v>
                </c:pt>
                <c:pt idx="7">
                  <c:v>Tote Bag</c:v>
                </c:pt>
                <c:pt idx="8">
                  <c:v>Crop Top</c:v>
                </c:pt>
                <c:pt idx="9">
                  <c:v>Blouse</c:v>
                </c:pt>
              </c:strCache>
            </c:strRef>
          </c:cat>
          <c:val>
            <c:numRef>
              <c:f>Sheet8!$B$4:$B$14</c:f>
              <c:numCache>
                <c:formatCode>[$₦-466]\ #,##0;\-[$₦-466]\ #,##0</c:formatCode>
                <c:ptCount val="10"/>
                <c:pt idx="0">
                  <c:v>1854600</c:v>
                </c:pt>
                <c:pt idx="1">
                  <c:v>1757500</c:v>
                </c:pt>
                <c:pt idx="2">
                  <c:v>1494000</c:v>
                </c:pt>
                <c:pt idx="3">
                  <c:v>1217000</c:v>
                </c:pt>
                <c:pt idx="4">
                  <c:v>1123200</c:v>
                </c:pt>
                <c:pt idx="5">
                  <c:v>1056000</c:v>
                </c:pt>
                <c:pt idx="6">
                  <c:v>961800</c:v>
                </c:pt>
                <c:pt idx="7">
                  <c:v>886500</c:v>
                </c:pt>
                <c:pt idx="8">
                  <c:v>497600</c:v>
                </c:pt>
                <c:pt idx="9">
                  <c:v>482500</c:v>
                </c:pt>
              </c:numCache>
            </c:numRef>
          </c:val>
          <c:extLst>
            <c:ext xmlns:c16="http://schemas.microsoft.com/office/drawing/2014/chart" uri="{C3380CC4-5D6E-409C-BE32-E72D297353CC}">
              <c16:uniqueId val="{00000000-02E1-48F1-AB2B-E0BABB38EAD9}"/>
            </c:ext>
          </c:extLst>
        </c:ser>
        <c:dLbls>
          <c:showLegendKey val="0"/>
          <c:showVal val="0"/>
          <c:showCatName val="0"/>
          <c:showSerName val="0"/>
          <c:showPercent val="0"/>
          <c:showBubbleSize val="0"/>
        </c:dLbls>
        <c:gapWidth val="219"/>
        <c:axId val="2036563728"/>
        <c:axId val="2036575376"/>
      </c:barChart>
      <c:catAx>
        <c:axId val="203656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575376"/>
        <c:crosses val="autoZero"/>
        <c:auto val="1"/>
        <c:lblAlgn val="ctr"/>
        <c:lblOffset val="100"/>
        <c:noMultiLvlLbl val="0"/>
      </c:catAx>
      <c:valAx>
        <c:axId val="2036575376"/>
        <c:scaling>
          <c:orientation val="minMax"/>
        </c:scaling>
        <c:delete val="0"/>
        <c:axPos val="b"/>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56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[Boutique_Store_Sales_Dataset.xlsx]Sheet10!PivotTable1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F2-4A75-8B18-25E1B2EFDA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2-4A75-8B18-25E1B2EFDA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F2-4A75-8B18-25E1B2EFDA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Sheet10!$A$4:$A$7</c:f>
              <c:strCache>
                <c:ptCount val="3"/>
                <c:pt idx="0">
                  <c:v>Cash</c:v>
                </c:pt>
                <c:pt idx="1">
                  <c:v>POS</c:v>
                </c:pt>
                <c:pt idx="2">
                  <c:v>Transfer</c:v>
                </c:pt>
              </c:strCache>
            </c:strRef>
          </c:cat>
          <c:val>
            <c:numRef>
              <c:f>Sheet10!$B$4:$B$7</c:f>
              <c:numCache>
                <c:formatCode>General</c:formatCode>
                <c:ptCount val="3"/>
                <c:pt idx="0">
                  <c:v>101</c:v>
                </c:pt>
                <c:pt idx="1">
                  <c:v>99</c:v>
                </c:pt>
                <c:pt idx="2">
                  <c:v>100</c:v>
                </c:pt>
              </c:numCache>
            </c:numRef>
          </c:val>
          <c:extLst>
            <c:ext xmlns:c16="http://schemas.microsoft.com/office/drawing/2014/chart" uri="{C3380CC4-5D6E-409C-BE32-E72D297353CC}">
              <c16:uniqueId val="{00000000-379F-4EA6-86C0-37E08B75F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[Boutique_Store_Sales_Dataset.xlsx]Sheet9!PivotTable2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none"/>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[$₦-466]\ #,##0;\-[$₦-466]\ #,##0</c:formatCode>
                <c:ptCount val="12"/>
                <c:pt idx="0">
                  <c:v>1188750</c:v>
                </c:pt>
                <c:pt idx="1">
                  <c:v>756800</c:v>
                </c:pt>
                <c:pt idx="2">
                  <c:v>829800</c:v>
                </c:pt>
                <c:pt idx="3">
                  <c:v>752350</c:v>
                </c:pt>
                <c:pt idx="4">
                  <c:v>801450</c:v>
                </c:pt>
                <c:pt idx="5">
                  <c:v>1184800</c:v>
                </c:pt>
                <c:pt idx="6">
                  <c:v>716450</c:v>
                </c:pt>
                <c:pt idx="7">
                  <c:v>1078700</c:v>
                </c:pt>
                <c:pt idx="8">
                  <c:v>935450</c:v>
                </c:pt>
                <c:pt idx="9">
                  <c:v>913300</c:v>
                </c:pt>
                <c:pt idx="10">
                  <c:v>745900</c:v>
                </c:pt>
                <c:pt idx="11">
                  <c:v>1426950</c:v>
                </c:pt>
              </c:numCache>
            </c:numRef>
          </c:val>
          <c:smooth val="0"/>
          <c:extLst>
            <c:ext xmlns:c16="http://schemas.microsoft.com/office/drawing/2014/chart" uri="{C3380CC4-5D6E-409C-BE32-E72D297353CC}">
              <c16:uniqueId val="{00000000-D34D-4626-8CBC-A8B64024BBC8}"/>
            </c:ext>
          </c:extLst>
        </c:ser>
        <c:dLbls>
          <c:showLegendKey val="0"/>
          <c:showVal val="0"/>
          <c:showCatName val="0"/>
          <c:showSerName val="0"/>
          <c:showPercent val="0"/>
          <c:showBubbleSize val="0"/>
        </c:dLbls>
        <c:smooth val="0"/>
        <c:axId val="403118672"/>
        <c:axId val="403120336"/>
      </c:lineChart>
      <c:catAx>
        <c:axId val="40311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20336"/>
        <c:crosses val="autoZero"/>
        <c:auto val="1"/>
        <c:lblAlgn val="ctr"/>
        <c:lblOffset val="100"/>
        <c:noMultiLvlLbl val="0"/>
      </c:catAx>
      <c:valAx>
        <c:axId val="403120336"/>
        <c:scaling>
          <c:orientation val="minMax"/>
        </c:scaling>
        <c:delete val="0"/>
        <c:axPos val="l"/>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[Boutique_Store_Sales_Dataset.xlsx]Sheet9!PivotTable2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layout>
        <c:manualLayout>
          <c:xMode val="edge"/>
          <c:yMode val="edge"/>
          <c:x val="0.36686297531159617"/>
          <c:y val="5.0540300637379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4">
                <a:lumMod val="60000"/>
                <a:lumOff val="40000"/>
              </a:schemeClr>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9061519749056"/>
          <c:y val="0.18450530640191715"/>
          <c:w val="0.78425714657853485"/>
          <c:h val="0.67846270720726209"/>
        </c:manualLayout>
      </c:layout>
      <c:lineChart>
        <c:grouping val="standard"/>
        <c:varyColors val="0"/>
        <c:ser>
          <c:idx val="0"/>
          <c:order val="0"/>
          <c:tx>
            <c:strRef>
              <c:f>Sheet9!$B$3</c:f>
              <c:strCache>
                <c:ptCount val="1"/>
                <c:pt idx="0">
                  <c:v>Total</c:v>
                </c:pt>
              </c:strCache>
            </c:strRef>
          </c:tx>
          <c:spPr>
            <a:ln w="44450" cap="rnd">
              <a:solidFill>
                <a:schemeClr val="accent4">
                  <a:lumMod val="60000"/>
                  <a:lumOff val="40000"/>
                </a:schemeClr>
              </a:solidFill>
              <a:round/>
            </a:ln>
            <a:effectLst/>
          </c:spPr>
          <c:marker>
            <c:symbol val="none"/>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[$₦-466]\ #,##0;\-[$₦-466]\ #,##0</c:formatCode>
                <c:ptCount val="12"/>
                <c:pt idx="0">
                  <c:v>1188750</c:v>
                </c:pt>
                <c:pt idx="1">
                  <c:v>756800</c:v>
                </c:pt>
                <c:pt idx="2">
                  <c:v>829800</c:v>
                </c:pt>
                <c:pt idx="3">
                  <c:v>752350</c:v>
                </c:pt>
                <c:pt idx="4">
                  <c:v>801450</c:v>
                </c:pt>
                <c:pt idx="5">
                  <c:v>1184800</c:v>
                </c:pt>
                <c:pt idx="6">
                  <c:v>716450</c:v>
                </c:pt>
                <c:pt idx="7">
                  <c:v>1078700</c:v>
                </c:pt>
                <c:pt idx="8">
                  <c:v>935450</c:v>
                </c:pt>
                <c:pt idx="9">
                  <c:v>913300</c:v>
                </c:pt>
                <c:pt idx="10">
                  <c:v>745900</c:v>
                </c:pt>
                <c:pt idx="11">
                  <c:v>1426950</c:v>
                </c:pt>
              </c:numCache>
            </c:numRef>
          </c:val>
          <c:smooth val="0"/>
          <c:extLst>
            <c:ext xmlns:c16="http://schemas.microsoft.com/office/drawing/2014/chart" uri="{C3380CC4-5D6E-409C-BE32-E72D297353CC}">
              <c16:uniqueId val="{00000000-B879-4CD7-AD41-0D006FB06F76}"/>
            </c:ext>
          </c:extLst>
        </c:ser>
        <c:dLbls>
          <c:dLblPos val="t"/>
          <c:showLegendKey val="0"/>
          <c:showVal val="1"/>
          <c:showCatName val="0"/>
          <c:showSerName val="0"/>
          <c:showPercent val="0"/>
          <c:showBubbleSize val="0"/>
        </c:dLbls>
        <c:smooth val="0"/>
        <c:axId val="403118672"/>
        <c:axId val="403120336"/>
      </c:lineChart>
      <c:catAx>
        <c:axId val="40311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3120336"/>
        <c:crosses val="autoZero"/>
        <c:auto val="1"/>
        <c:lblAlgn val="ctr"/>
        <c:lblOffset val="100"/>
        <c:noMultiLvlLbl val="0"/>
      </c:catAx>
      <c:valAx>
        <c:axId val="403120336"/>
        <c:scaling>
          <c:orientation val="minMax"/>
        </c:scaling>
        <c:delete val="0"/>
        <c:axPos val="l"/>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311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[Boutique_Store_Sales_Dataset.xlsx]Sheet5!PivotTable4</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by Category</a:t>
            </a:r>
          </a:p>
        </c:rich>
      </c:tx>
      <c:layout>
        <c:manualLayout>
          <c:xMode val="edge"/>
          <c:yMode val="edge"/>
          <c:x val="0.32095839816430133"/>
          <c:y val="1.87104595049579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1533468496078"/>
          <c:y val="0.1223199342081972"/>
          <c:w val="0.73521240982601721"/>
          <c:h val="0.60337244028258574"/>
        </c:manualLayout>
      </c:layout>
      <c:barChart>
        <c:barDir val="col"/>
        <c:grouping val="clustered"/>
        <c:varyColors val="0"/>
        <c:ser>
          <c:idx val="0"/>
          <c:order val="0"/>
          <c:tx>
            <c:strRef>
              <c:f>Sheet5!$B$3</c:f>
              <c:strCache>
                <c:ptCount val="1"/>
                <c:pt idx="0">
                  <c:v>Total</c:v>
                </c:pt>
              </c:strCache>
            </c:strRef>
          </c:tx>
          <c:spPr>
            <a:solidFill>
              <a:schemeClr val="accent4">
                <a:lumMod val="75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Shoes</c:v>
                </c:pt>
                <c:pt idx="1">
                  <c:v>Dresses</c:v>
                </c:pt>
                <c:pt idx="2">
                  <c:v>Bags</c:v>
                </c:pt>
                <c:pt idx="3">
                  <c:v>Trousers</c:v>
                </c:pt>
                <c:pt idx="4">
                  <c:v>Tops</c:v>
                </c:pt>
              </c:strCache>
            </c:strRef>
          </c:cat>
          <c:val>
            <c:numRef>
              <c:f>Sheet5!$B$4:$B$9</c:f>
              <c:numCache>
                <c:formatCode>[$₦-466]\ #,##0;\-[$₦-466]\ #,##0</c:formatCode>
                <c:ptCount val="5"/>
                <c:pt idx="0">
                  <c:v>3612100</c:v>
                </c:pt>
                <c:pt idx="1">
                  <c:v>2550000</c:v>
                </c:pt>
                <c:pt idx="2">
                  <c:v>2103500</c:v>
                </c:pt>
                <c:pt idx="3">
                  <c:v>2085000</c:v>
                </c:pt>
                <c:pt idx="4">
                  <c:v>980100</c:v>
                </c:pt>
              </c:numCache>
            </c:numRef>
          </c:val>
          <c:extLst>
            <c:ext xmlns:c16="http://schemas.microsoft.com/office/drawing/2014/chart" uri="{C3380CC4-5D6E-409C-BE32-E72D297353CC}">
              <c16:uniqueId val="{00000000-6B85-45BC-AE01-BDEAF20862B2}"/>
            </c:ext>
          </c:extLst>
        </c:ser>
        <c:dLbls>
          <c:dLblPos val="outEnd"/>
          <c:showLegendKey val="0"/>
          <c:showVal val="1"/>
          <c:showCatName val="0"/>
          <c:showSerName val="0"/>
          <c:showPercent val="0"/>
          <c:showBubbleSize val="0"/>
        </c:dLbls>
        <c:gapWidth val="219"/>
        <c:overlap val="-27"/>
        <c:axId val="1372543311"/>
        <c:axId val="1372545807"/>
      </c:barChart>
      <c:catAx>
        <c:axId val="13725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45807"/>
        <c:crosses val="autoZero"/>
        <c:auto val="1"/>
        <c:lblAlgn val="ctr"/>
        <c:lblOffset val="100"/>
        <c:noMultiLvlLbl val="0"/>
      </c:catAx>
      <c:valAx>
        <c:axId val="1372545807"/>
        <c:scaling>
          <c:orientation val="minMax"/>
        </c:scaling>
        <c:delete val="0"/>
        <c:axPos val="l"/>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4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[Boutique_Store_Sales_Dataset.xlsx]Sheet6!PivotTable6</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Sales by City</a:t>
            </a:r>
          </a:p>
        </c:rich>
      </c:tx>
      <c:layout>
        <c:manualLayout>
          <c:xMode val="edge"/>
          <c:yMode val="edge"/>
          <c:x val="0.28613023372078489"/>
          <c:y val="1.8806704280075286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25708915447005"/>
          <c:y val="0.12908008450163244"/>
          <c:w val="0.63049218271347207"/>
          <c:h val="0.439772467465957"/>
        </c:manualLayout>
      </c:layout>
      <c:barChart>
        <c:barDir val="bar"/>
        <c:grouping val="clustered"/>
        <c:varyColors val="0"/>
        <c:ser>
          <c:idx val="0"/>
          <c:order val="0"/>
          <c:tx>
            <c:strRef>
              <c:f>Sheet6!$B$3</c:f>
              <c:strCache>
                <c:ptCount val="1"/>
                <c:pt idx="0">
                  <c:v>Total</c:v>
                </c:pt>
              </c:strCache>
            </c:strRef>
          </c:tx>
          <c:spPr>
            <a:solidFill>
              <a:schemeClr val="accent4">
                <a:lumMod val="75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Enugu</c:v>
                </c:pt>
                <c:pt idx="1">
                  <c:v>Abuja</c:v>
                </c:pt>
                <c:pt idx="2">
                  <c:v>Lagos</c:v>
                </c:pt>
                <c:pt idx="3">
                  <c:v>Port Harcourt</c:v>
                </c:pt>
                <c:pt idx="4">
                  <c:v>Ibadan</c:v>
                </c:pt>
              </c:strCache>
            </c:strRef>
          </c:cat>
          <c:val>
            <c:numRef>
              <c:f>Sheet6!$B$4:$B$9</c:f>
              <c:numCache>
                <c:formatCode>[$₦-466]\ #,##0;\-[$₦-466]\ #,##0</c:formatCode>
                <c:ptCount val="5"/>
                <c:pt idx="0">
                  <c:v>2611900</c:v>
                </c:pt>
                <c:pt idx="1">
                  <c:v>2476600</c:v>
                </c:pt>
                <c:pt idx="2">
                  <c:v>2266950</c:v>
                </c:pt>
                <c:pt idx="3">
                  <c:v>2097650</c:v>
                </c:pt>
                <c:pt idx="4">
                  <c:v>1877600</c:v>
                </c:pt>
              </c:numCache>
            </c:numRef>
          </c:val>
          <c:extLst>
            <c:ext xmlns:c16="http://schemas.microsoft.com/office/drawing/2014/chart" uri="{C3380CC4-5D6E-409C-BE32-E72D297353CC}">
              <c16:uniqueId val="{00000000-66D9-414F-A5D0-659CDA8EB78C}"/>
            </c:ext>
          </c:extLst>
        </c:ser>
        <c:dLbls>
          <c:dLblPos val="outEnd"/>
          <c:showLegendKey val="0"/>
          <c:showVal val="1"/>
          <c:showCatName val="0"/>
          <c:showSerName val="0"/>
          <c:showPercent val="0"/>
          <c:showBubbleSize val="0"/>
        </c:dLbls>
        <c:gapWidth val="182"/>
        <c:axId val="1448389999"/>
        <c:axId val="1448391247"/>
      </c:barChart>
      <c:catAx>
        <c:axId val="144838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448391247"/>
        <c:crosses val="autoZero"/>
        <c:auto val="1"/>
        <c:lblAlgn val="ctr"/>
        <c:lblOffset val="100"/>
        <c:noMultiLvlLbl val="0"/>
      </c:catAx>
      <c:valAx>
        <c:axId val="1448391247"/>
        <c:scaling>
          <c:orientation val="minMax"/>
        </c:scaling>
        <c:delete val="0"/>
        <c:axPos val="b"/>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38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[Boutique_Store_Sales_Dataset.xlsx]Sheet10!PivotTable1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a:t>
            </a:r>
            <a:r>
              <a:rPr lang="en-US" b="1" baseline="0">
                <a:solidFill>
                  <a:schemeClr val="tx1"/>
                </a:solidFill>
              </a:rPr>
              <a:t> by payment Method</a:t>
            </a:r>
            <a:endParaRPr lang="en-US" b="1">
              <a:solidFill>
                <a:schemeClr val="tx1"/>
              </a:solidFill>
            </a:endParaRPr>
          </a:p>
        </c:rich>
      </c:tx>
      <c:layout>
        <c:manualLayout>
          <c:xMode val="edge"/>
          <c:yMode val="edge"/>
          <c:x val="0.21417056094405448"/>
          <c:y val="9.91234125511227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dLbl>
          <c:idx val="0"/>
          <c:layout>
            <c:manualLayout>
              <c:x val="-0.15059806770229062"/>
              <c:y val="0.11836213404265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7030A0"/>
          </a:solidFill>
          <a:ln w="19050">
            <a:solidFill>
              <a:schemeClr val="lt1"/>
            </a:solidFill>
          </a:ln>
          <a:effectLst/>
        </c:spPr>
        <c:dLbl>
          <c:idx val="0"/>
          <c:layout>
            <c:manualLayout>
              <c:x val="1.3595559069238957E-3"/>
              <c:y val="-0.16089695414003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lumMod val="20000"/>
              <a:lumOff val="80000"/>
            </a:schemeClr>
          </a:solidFill>
          <a:ln w="19050">
            <a:solidFill>
              <a:schemeClr val="lt1"/>
            </a:solidFill>
          </a:ln>
          <a:effectLst/>
        </c:spPr>
        <c:dLbl>
          <c:idx val="0"/>
          <c:layout>
            <c:manualLayout>
              <c:x val="0.17577235438463193"/>
              <c:y val="0.12386938685862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Sheet10!$B$3</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5BBB-49D9-A566-CCDD4E703252}"/>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5BBB-49D9-A566-CCDD4E703252}"/>
              </c:ext>
            </c:extLst>
          </c:dPt>
          <c:dPt>
            <c:idx val="2"/>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5-5BBB-49D9-A566-CCDD4E703252}"/>
              </c:ext>
            </c:extLst>
          </c:dPt>
          <c:dLbls>
            <c:dLbl>
              <c:idx val="0"/>
              <c:layout>
                <c:manualLayout>
                  <c:x val="-0.15059806770229062"/>
                  <c:y val="0.118362134042652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BB-49D9-A566-CCDD4E703252}"/>
                </c:ext>
              </c:extLst>
            </c:dLbl>
            <c:dLbl>
              <c:idx val="1"/>
              <c:layout>
                <c:manualLayout>
                  <c:x val="1.3595559069238957E-3"/>
                  <c:y val="-0.1608969541400382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BB-49D9-A566-CCDD4E703252}"/>
                </c:ext>
              </c:extLst>
            </c:dLbl>
            <c:dLbl>
              <c:idx val="2"/>
              <c:layout>
                <c:manualLayout>
                  <c:x val="0.17577235438463193"/>
                  <c:y val="0.12386938685862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BBB-49D9-A566-CCDD4E7032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Sheet10!$A$4:$A$7</c:f>
              <c:strCache>
                <c:ptCount val="3"/>
                <c:pt idx="0">
                  <c:v>Cash</c:v>
                </c:pt>
                <c:pt idx="1">
                  <c:v>POS</c:v>
                </c:pt>
                <c:pt idx="2">
                  <c:v>Transfer</c:v>
                </c:pt>
              </c:strCache>
            </c:strRef>
          </c:cat>
          <c:val>
            <c:numRef>
              <c:f>Sheet10!$B$4:$B$7</c:f>
              <c:numCache>
                <c:formatCode>General</c:formatCode>
                <c:ptCount val="3"/>
                <c:pt idx="0">
                  <c:v>101</c:v>
                </c:pt>
                <c:pt idx="1">
                  <c:v>99</c:v>
                </c:pt>
                <c:pt idx="2">
                  <c:v>100</c:v>
                </c:pt>
              </c:numCache>
            </c:numRef>
          </c:val>
          <c:extLst>
            <c:ext xmlns:c16="http://schemas.microsoft.com/office/drawing/2014/chart" uri="{C3380CC4-5D6E-409C-BE32-E72D297353CC}">
              <c16:uniqueId val="{00000006-5BBB-49D9-A566-CCDD4E70325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[Boutique_Store_Sales_Dataset.xlsx]Sheet8!PivotTable8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Top Selling Product</a:t>
            </a:r>
          </a:p>
        </c:rich>
      </c:tx>
      <c:layout>
        <c:manualLayout>
          <c:xMode val="edge"/>
          <c:yMode val="edge"/>
          <c:x val="0.3175"/>
          <c:y val="2.749768329066979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2711821431892"/>
          <c:y val="0.15540425626056911"/>
          <c:w val="0.73461286089238842"/>
          <c:h val="0.64273635801161477"/>
        </c:manualLayout>
      </c:layout>
      <c:barChart>
        <c:barDir val="bar"/>
        <c:grouping val="clustered"/>
        <c:varyColors val="0"/>
        <c:ser>
          <c:idx val="0"/>
          <c:order val="0"/>
          <c:tx>
            <c:strRef>
              <c:f>Sheet8!$B$3</c:f>
              <c:strCache>
                <c:ptCount val="1"/>
                <c:pt idx="0">
                  <c:v>Total</c:v>
                </c:pt>
              </c:strCache>
            </c:strRef>
          </c:tx>
          <c:spPr>
            <a:solidFill>
              <a:schemeClr val="accent4">
                <a:lumMod val="50000"/>
              </a:schemeClr>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Sheet8!$A$4:$A$14</c:f>
              <c:strCache>
                <c:ptCount val="10"/>
                <c:pt idx="0">
                  <c:v>Heels</c:v>
                </c:pt>
                <c:pt idx="1">
                  <c:v>Sneakers</c:v>
                </c:pt>
                <c:pt idx="2">
                  <c:v>Maxi Dress</c:v>
                </c:pt>
                <c:pt idx="3">
                  <c:v>Handbag</c:v>
                </c:pt>
                <c:pt idx="4">
                  <c:v>Jeans</c:v>
                </c:pt>
                <c:pt idx="5">
                  <c:v>Bodycon Dress</c:v>
                </c:pt>
                <c:pt idx="6">
                  <c:v>Palazzo Pants</c:v>
                </c:pt>
                <c:pt idx="7">
                  <c:v>Tote Bag</c:v>
                </c:pt>
                <c:pt idx="8">
                  <c:v>Crop Top</c:v>
                </c:pt>
                <c:pt idx="9">
                  <c:v>Blouse</c:v>
                </c:pt>
              </c:strCache>
            </c:strRef>
          </c:cat>
          <c:val>
            <c:numRef>
              <c:f>Sheet8!$B$4:$B$14</c:f>
              <c:numCache>
                <c:formatCode>[$₦-466]\ #,##0;\-[$₦-466]\ #,##0</c:formatCode>
                <c:ptCount val="10"/>
                <c:pt idx="0">
                  <c:v>1854600</c:v>
                </c:pt>
                <c:pt idx="1">
                  <c:v>1757500</c:v>
                </c:pt>
                <c:pt idx="2">
                  <c:v>1494000</c:v>
                </c:pt>
                <c:pt idx="3">
                  <c:v>1217000</c:v>
                </c:pt>
                <c:pt idx="4">
                  <c:v>1123200</c:v>
                </c:pt>
                <c:pt idx="5">
                  <c:v>1056000</c:v>
                </c:pt>
                <c:pt idx="6">
                  <c:v>961800</c:v>
                </c:pt>
                <c:pt idx="7">
                  <c:v>886500</c:v>
                </c:pt>
                <c:pt idx="8">
                  <c:v>497600</c:v>
                </c:pt>
                <c:pt idx="9">
                  <c:v>482500</c:v>
                </c:pt>
              </c:numCache>
            </c:numRef>
          </c:val>
          <c:extLst>
            <c:ext xmlns:c16="http://schemas.microsoft.com/office/drawing/2014/chart" uri="{C3380CC4-5D6E-409C-BE32-E72D297353CC}">
              <c16:uniqueId val="{00000000-7386-4C5A-A6C5-8BBB095E1BE7}"/>
            </c:ext>
          </c:extLst>
        </c:ser>
        <c:dLbls>
          <c:dLblPos val="outEnd"/>
          <c:showLegendKey val="0"/>
          <c:showVal val="1"/>
          <c:showCatName val="0"/>
          <c:showSerName val="0"/>
          <c:showPercent val="0"/>
          <c:showBubbleSize val="0"/>
        </c:dLbls>
        <c:gapWidth val="219"/>
        <c:axId val="2036563728"/>
        <c:axId val="2036575376"/>
      </c:barChart>
      <c:catAx>
        <c:axId val="203656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6575376"/>
        <c:crosses val="autoZero"/>
        <c:auto val="1"/>
        <c:lblAlgn val="ctr"/>
        <c:lblOffset val="100"/>
        <c:noMultiLvlLbl val="0"/>
      </c:catAx>
      <c:valAx>
        <c:axId val="2036575376"/>
        <c:scaling>
          <c:orientation val="minMax"/>
        </c:scaling>
        <c:delete val="0"/>
        <c:axPos val="b"/>
        <c:majorGridlines>
          <c:spPr>
            <a:ln w="9525" cap="flat" cmpd="sng" algn="ctr">
              <a:solidFill>
                <a:schemeClr val="tx1">
                  <a:lumMod val="15000"/>
                  <a:lumOff val="85000"/>
                </a:schemeClr>
              </a:solidFill>
              <a:round/>
            </a:ln>
            <a:effectLst/>
          </c:spPr>
        </c:majorGridlines>
        <c:numFmt formatCode="[$₦-466]\ #,##0;\-[$₦-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656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523875</xdr:colOff>
      <xdr:row>4</xdr:row>
      <xdr:rowOff>4762</xdr:rowOff>
    </xdr:from>
    <xdr:to>
      <xdr:col>10</xdr:col>
      <xdr:colOff>219075</xdr:colOff>
      <xdr:row>18</xdr:row>
      <xdr:rowOff>80962</xdr:rowOff>
    </xdr:to>
    <xdr:graphicFrame macro="">
      <xdr:nvGraphicFramePr>
        <xdr:cNvPr id="2" name="Chart 1">
          <a:extLst>
            <a:ext uri="{FF2B5EF4-FFF2-40B4-BE49-F238E27FC236}">
              <a16:creationId xmlns:a16="http://schemas.microsoft.com/office/drawing/2014/main" id="{0246C788-B804-4D4E-B2E4-C24EA87F9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457199</xdr:colOff>
      <xdr:row>1</xdr:row>
      <xdr:rowOff>80961</xdr:rowOff>
    </xdr:from>
    <xdr:to>
      <xdr:col>12</xdr:col>
      <xdr:colOff>76200</xdr:colOff>
      <xdr:row>19</xdr:row>
      <xdr:rowOff>133350</xdr:rowOff>
    </xdr:to>
    <xdr:graphicFrame macro="">
      <xdr:nvGraphicFramePr>
        <xdr:cNvPr id="2" name="Chart 1">
          <a:extLst>
            <a:ext uri="{FF2B5EF4-FFF2-40B4-BE49-F238E27FC236}">
              <a16:creationId xmlns:a16="http://schemas.microsoft.com/office/drawing/2014/main" id="{88E2ACE5-A7BC-4F72-A5A7-89C6F4E9A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581025</xdr:colOff>
      <xdr:row>4</xdr:row>
      <xdr:rowOff>14287</xdr:rowOff>
    </xdr:from>
    <xdr:to>
      <xdr:col>10</xdr:col>
      <xdr:colOff>276225</xdr:colOff>
      <xdr:row>18</xdr:row>
      <xdr:rowOff>90487</xdr:rowOff>
    </xdr:to>
    <xdr:graphicFrame macro="">
      <xdr:nvGraphicFramePr>
        <xdr:cNvPr id="2" name="Chart 1">
          <a:extLst>
            <a:ext uri="{FF2B5EF4-FFF2-40B4-BE49-F238E27FC236}">
              <a16:creationId xmlns:a16="http://schemas.microsoft.com/office/drawing/2014/main" id="{3ABE7327-7E40-4AC7-84F4-85CF3F2BB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4</xdr:row>
      <xdr:rowOff>71437</xdr:rowOff>
    </xdr:from>
    <xdr:to>
      <xdr:col>9</xdr:col>
      <xdr:colOff>457200</xdr:colOff>
      <xdr:row>18</xdr:row>
      <xdr:rowOff>147637</xdr:rowOff>
    </xdr:to>
    <xdr:graphicFrame macro="">
      <xdr:nvGraphicFramePr>
        <xdr:cNvPr id="2" name="Chart 1">
          <a:extLst>
            <a:ext uri="{FF2B5EF4-FFF2-40B4-BE49-F238E27FC236}">
              <a16:creationId xmlns:a16="http://schemas.microsoft.com/office/drawing/2014/main" id="{290D44D1-5013-4E9E-801C-CDBA7620C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495300</xdr:colOff>
      <xdr:row>4</xdr:row>
      <xdr:rowOff>14287</xdr:rowOff>
    </xdr:from>
    <xdr:to>
      <xdr:col>10</xdr:col>
      <xdr:colOff>190500</xdr:colOff>
      <xdr:row>18</xdr:row>
      <xdr:rowOff>90487</xdr:rowOff>
    </xdr:to>
    <xdr:graphicFrame macro="">
      <xdr:nvGraphicFramePr>
        <xdr:cNvPr id="2" name="Chart 1">
          <a:extLst>
            <a:ext uri="{FF2B5EF4-FFF2-40B4-BE49-F238E27FC236}">
              <a16:creationId xmlns:a16="http://schemas.microsoft.com/office/drawing/2014/main" id="{0CA6A774-BA55-458A-99C8-82EA41B74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458816</xdr:colOff>
      <xdr:row>0</xdr:row>
      <xdr:rowOff>65072</xdr:rowOff>
    </xdr:from>
    <xdr:to>
      <xdr:col>12</xdr:col>
      <xdr:colOff>158236</xdr:colOff>
      <xdr:row>3</xdr:row>
      <xdr:rowOff>55547</xdr:rowOff>
    </xdr:to>
    <xdr:sp macro="" textlink="">
      <xdr:nvSpPr>
        <xdr:cNvPr id="2" name="Rectangle: Rounded Corners 1">
          <a:extLst>
            <a:ext uri="{FF2B5EF4-FFF2-40B4-BE49-F238E27FC236}">
              <a16:creationId xmlns:a16="http://schemas.microsoft.com/office/drawing/2014/main" id="{D82A22B7-0A98-4CC0-AA03-BA90A6AD7C76}"/>
            </a:ext>
          </a:extLst>
        </xdr:cNvPr>
        <xdr:cNvSpPr/>
      </xdr:nvSpPr>
      <xdr:spPr>
        <a:xfrm>
          <a:off x="6399408" y="65072"/>
          <a:ext cx="1541756" cy="516857"/>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 </a:t>
          </a:r>
          <a:r>
            <a:rPr lang="en-US" sz="1200" b="1">
              <a:solidFill>
                <a:sysClr val="windowText" lastClr="000000"/>
              </a:solidFill>
            </a:rPr>
            <a:t>TOTAL SALES</a:t>
          </a:r>
        </a:p>
      </xdr:txBody>
    </xdr:sp>
    <xdr:clientData/>
  </xdr:twoCellAnchor>
  <xdr:twoCellAnchor>
    <xdr:from>
      <xdr:col>0</xdr:col>
      <xdr:colOff>135732</xdr:colOff>
      <xdr:row>0</xdr:row>
      <xdr:rowOff>61911</xdr:rowOff>
    </xdr:from>
    <xdr:to>
      <xdr:col>9</xdr:col>
      <xdr:colOff>401053</xdr:colOff>
      <xdr:row>3</xdr:row>
      <xdr:rowOff>75196</xdr:rowOff>
    </xdr:to>
    <xdr:sp macro="" textlink="">
      <xdr:nvSpPr>
        <xdr:cNvPr id="7" name="Rectangle: Rounded Corners 6">
          <a:extLst>
            <a:ext uri="{FF2B5EF4-FFF2-40B4-BE49-F238E27FC236}">
              <a16:creationId xmlns:a16="http://schemas.microsoft.com/office/drawing/2014/main" id="{15C99761-5F3E-4584-AE03-B4B013A242BA}"/>
            </a:ext>
          </a:extLst>
        </xdr:cNvPr>
        <xdr:cNvSpPr/>
      </xdr:nvSpPr>
      <xdr:spPr>
        <a:xfrm>
          <a:off x="135732" y="61911"/>
          <a:ext cx="6205913" cy="539667"/>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2000" b="1">
              <a:solidFill>
                <a:schemeClr val="tx1"/>
              </a:solidFill>
            </a:rPr>
            <a:t>BOUTIQUE SALES</a:t>
          </a:r>
          <a:r>
            <a:rPr lang="en-US" sz="2000" b="1" baseline="0">
              <a:solidFill>
                <a:schemeClr val="tx1"/>
              </a:solidFill>
            </a:rPr>
            <a:t> DASHBOARD -2025</a:t>
          </a:r>
          <a:endParaRPr lang="en-US" sz="2000" b="1">
            <a:solidFill>
              <a:schemeClr val="tx1"/>
            </a:solidFill>
          </a:endParaRPr>
        </a:p>
      </xdr:txBody>
    </xdr:sp>
    <xdr:clientData/>
  </xdr:twoCellAnchor>
  <xdr:twoCellAnchor>
    <xdr:from>
      <xdr:col>12</xdr:col>
      <xdr:colOff>241905</xdr:colOff>
      <xdr:row>0</xdr:row>
      <xdr:rowOff>64444</xdr:rowOff>
    </xdr:from>
    <xdr:to>
      <xdr:col>14</xdr:col>
      <xdr:colOff>561473</xdr:colOff>
      <xdr:row>3</xdr:row>
      <xdr:rowOff>35869</xdr:rowOff>
    </xdr:to>
    <xdr:sp macro="" textlink="">
      <xdr:nvSpPr>
        <xdr:cNvPr id="8" name="Rectangle: Rounded Corners 7">
          <a:extLst>
            <a:ext uri="{FF2B5EF4-FFF2-40B4-BE49-F238E27FC236}">
              <a16:creationId xmlns:a16="http://schemas.microsoft.com/office/drawing/2014/main" id="{35456F6F-55F1-4D54-8BB1-21E3F86AC970}"/>
            </a:ext>
          </a:extLst>
        </xdr:cNvPr>
        <xdr:cNvSpPr/>
      </xdr:nvSpPr>
      <xdr:spPr>
        <a:xfrm>
          <a:off x="8024833" y="64444"/>
          <a:ext cx="1547791" cy="497807"/>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  TOTAL PROFIT</a:t>
          </a:r>
        </a:p>
      </xdr:txBody>
    </xdr:sp>
    <xdr:clientData/>
  </xdr:twoCellAnchor>
  <xdr:twoCellAnchor>
    <xdr:from>
      <xdr:col>9</xdr:col>
      <xdr:colOff>597816</xdr:colOff>
      <xdr:row>1</xdr:row>
      <xdr:rowOff>111768</xdr:rowOff>
    </xdr:from>
    <xdr:to>
      <xdr:col>12</xdr:col>
      <xdr:colOff>133472</xdr:colOff>
      <xdr:row>3</xdr:row>
      <xdr:rowOff>45093</xdr:rowOff>
    </xdr:to>
    <xdr:sp macro="" textlink="$V$16">
      <xdr:nvSpPr>
        <xdr:cNvPr id="12" name="TextBox 11">
          <a:extLst>
            <a:ext uri="{FF2B5EF4-FFF2-40B4-BE49-F238E27FC236}">
              <a16:creationId xmlns:a16="http://schemas.microsoft.com/office/drawing/2014/main" id="{697B2E5D-A9A5-4D6F-BBAF-146215EEE980}"/>
            </a:ext>
          </a:extLst>
        </xdr:cNvPr>
        <xdr:cNvSpPr txBox="1"/>
      </xdr:nvSpPr>
      <xdr:spPr>
        <a:xfrm>
          <a:off x="6491410" y="290362"/>
          <a:ext cx="1357312" cy="290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CCA9C-2419-4766-B8DC-6139780B1880}" type="TxLink">
            <a:rPr lang="en-US" sz="1600" b="1" i="0" u="none" strike="noStrike">
              <a:solidFill>
                <a:schemeClr val="tx1"/>
              </a:solidFill>
              <a:latin typeface="Calibri"/>
              <a:cs typeface="Calibri"/>
            </a:rPr>
            <a:pPr/>
            <a:t>₦11.33M</a:t>
          </a:fld>
          <a:endParaRPr lang="en-US" sz="1600" b="1">
            <a:solidFill>
              <a:schemeClr val="tx1"/>
            </a:solidFill>
          </a:endParaRPr>
        </a:p>
      </xdr:txBody>
    </xdr:sp>
    <xdr:clientData/>
  </xdr:twoCellAnchor>
  <xdr:twoCellAnchor>
    <xdr:from>
      <xdr:col>12</xdr:col>
      <xdr:colOff>431369</xdr:colOff>
      <xdr:row>1</xdr:row>
      <xdr:rowOff>93020</xdr:rowOff>
    </xdr:from>
    <xdr:to>
      <xdr:col>14</xdr:col>
      <xdr:colOff>547506</xdr:colOff>
      <xdr:row>3</xdr:row>
      <xdr:rowOff>35870</xdr:rowOff>
    </xdr:to>
    <xdr:sp macro="" textlink="$V$17">
      <xdr:nvSpPr>
        <xdr:cNvPr id="13" name="TextBox 12">
          <a:extLst>
            <a:ext uri="{FF2B5EF4-FFF2-40B4-BE49-F238E27FC236}">
              <a16:creationId xmlns:a16="http://schemas.microsoft.com/office/drawing/2014/main" id="{04D47D5A-AEB9-42B4-8E00-2A0974A84FD1}"/>
            </a:ext>
          </a:extLst>
        </xdr:cNvPr>
        <xdr:cNvSpPr txBox="1"/>
      </xdr:nvSpPr>
      <xdr:spPr>
        <a:xfrm>
          <a:off x="8146619" y="271614"/>
          <a:ext cx="1330575"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24505-49A1-4CE2-8DC9-33A180F7C96B}" type="TxLink">
            <a:rPr lang="en-US" sz="1600" b="1" i="0" u="none" strike="noStrike">
              <a:solidFill>
                <a:sysClr val="windowText" lastClr="000000"/>
              </a:solidFill>
              <a:latin typeface="Calibri"/>
              <a:cs typeface="Calibri"/>
            </a:rPr>
            <a:pPr/>
            <a:t>₦3.73M</a:t>
          </a:fld>
          <a:endParaRPr lang="en-US" sz="1600" b="1">
            <a:solidFill>
              <a:sysClr val="windowText" lastClr="000000"/>
            </a:solidFill>
          </a:endParaRPr>
        </a:p>
      </xdr:txBody>
    </xdr:sp>
    <xdr:clientData/>
  </xdr:twoCellAnchor>
  <xdr:twoCellAnchor>
    <xdr:from>
      <xdr:col>0</xdr:col>
      <xdr:colOff>275639</xdr:colOff>
      <xdr:row>16</xdr:row>
      <xdr:rowOff>83779</xdr:rowOff>
    </xdr:from>
    <xdr:to>
      <xdr:col>8</xdr:col>
      <xdr:colOff>213827</xdr:colOff>
      <xdr:row>28</xdr:row>
      <xdr:rowOff>145792</xdr:rowOff>
    </xdr:to>
    <xdr:sp macro="" textlink="">
      <xdr:nvSpPr>
        <xdr:cNvPr id="16" name="Rectangle: Rounded Corners 15">
          <a:extLst>
            <a:ext uri="{FF2B5EF4-FFF2-40B4-BE49-F238E27FC236}">
              <a16:creationId xmlns:a16="http://schemas.microsoft.com/office/drawing/2014/main" id="{F8A800CB-5FB8-4652-BB9E-8984C0A48D3E}"/>
            </a:ext>
          </a:extLst>
        </xdr:cNvPr>
        <xdr:cNvSpPr/>
      </xdr:nvSpPr>
      <xdr:spPr>
        <a:xfrm>
          <a:off x="275639" y="3038473"/>
          <a:ext cx="5254693" cy="22780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0</xdr:col>
      <xdr:colOff>223545</xdr:colOff>
      <xdr:row>17</xdr:row>
      <xdr:rowOff>15941</xdr:rowOff>
    </xdr:from>
    <xdr:to>
      <xdr:col>8</xdr:col>
      <xdr:colOff>242985</xdr:colOff>
      <xdr:row>28</xdr:row>
      <xdr:rowOff>155510</xdr:rowOff>
    </xdr:to>
    <xdr:graphicFrame macro="">
      <xdr:nvGraphicFramePr>
        <xdr:cNvPr id="28" name="Chart 27">
          <a:extLst>
            <a:ext uri="{FF2B5EF4-FFF2-40B4-BE49-F238E27FC236}">
              <a16:creationId xmlns:a16="http://schemas.microsoft.com/office/drawing/2014/main" id="{C1E6D6FC-E815-407F-8108-553DAFE9E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194359</xdr:colOff>
      <xdr:row>3</xdr:row>
      <xdr:rowOff>154932</xdr:rowOff>
    </xdr:from>
    <xdr:to>
      <xdr:col>11</xdr:col>
      <xdr:colOff>222935</xdr:colOff>
      <xdr:row>15</xdr:row>
      <xdr:rowOff>120570</xdr:rowOff>
    </xdr:to>
    <xdr:sp macro="" textlink="">
      <xdr:nvSpPr>
        <xdr:cNvPr id="20" name="Rectangle: Rounded Corners 19">
          <a:extLst>
            <a:ext uri="{FF2B5EF4-FFF2-40B4-BE49-F238E27FC236}">
              <a16:creationId xmlns:a16="http://schemas.microsoft.com/office/drawing/2014/main" id="{328E917A-3A91-4A28-821F-89DC9E349B60}"/>
            </a:ext>
          </a:extLst>
        </xdr:cNvPr>
        <xdr:cNvSpPr/>
      </xdr:nvSpPr>
      <xdr:spPr>
        <a:xfrm>
          <a:off x="3606479" y="733666"/>
          <a:ext cx="3718007" cy="22805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5</xdr:col>
      <xdr:colOff>466725</xdr:colOff>
      <xdr:row>5</xdr:row>
      <xdr:rowOff>9525</xdr:rowOff>
    </xdr:from>
    <xdr:to>
      <xdr:col>10</xdr:col>
      <xdr:colOff>600075</xdr:colOff>
      <xdr:row>17</xdr:row>
      <xdr:rowOff>180974</xdr:rowOff>
    </xdr:to>
    <xdr:graphicFrame macro="">
      <xdr:nvGraphicFramePr>
        <xdr:cNvPr id="21" name="Chart 20">
          <a:extLst>
            <a:ext uri="{FF2B5EF4-FFF2-40B4-BE49-F238E27FC236}">
              <a16:creationId xmlns:a16="http://schemas.microsoft.com/office/drawing/2014/main" id="{80FDA82D-AB56-4DA3-AD08-66CD01326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315449</xdr:colOff>
      <xdr:row>4</xdr:row>
      <xdr:rowOff>9721</xdr:rowOff>
    </xdr:from>
    <xdr:to>
      <xdr:col>17</xdr:col>
      <xdr:colOff>254684</xdr:colOff>
      <xdr:row>15</xdr:row>
      <xdr:rowOff>106176</xdr:rowOff>
    </xdr:to>
    <xdr:sp macro="" textlink="">
      <xdr:nvSpPr>
        <xdr:cNvPr id="23" name="Rectangle: Rounded Corners 22">
          <a:extLst>
            <a:ext uri="{FF2B5EF4-FFF2-40B4-BE49-F238E27FC236}">
              <a16:creationId xmlns:a16="http://schemas.microsoft.com/office/drawing/2014/main" id="{CD8E1B07-2AD1-464F-A3E1-A418255DDD04}"/>
            </a:ext>
          </a:extLst>
        </xdr:cNvPr>
        <xdr:cNvSpPr/>
      </xdr:nvSpPr>
      <xdr:spPr>
        <a:xfrm>
          <a:off x="7468918" y="748394"/>
          <a:ext cx="3613164" cy="212780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11</xdr:col>
      <xdr:colOff>409575</xdr:colOff>
      <xdr:row>4</xdr:row>
      <xdr:rowOff>114300</xdr:rowOff>
    </xdr:from>
    <xdr:to>
      <xdr:col>17</xdr:col>
      <xdr:colOff>349898</xdr:colOff>
      <xdr:row>18</xdr:row>
      <xdr:rowOff>180975</xdr:rowOff>
    </xdr:to>
    <xdr:graphicFrame macro="">
      <xdr:nvGraphicFramePr>
        <xdr:cNvPr id="24" name="Chart 23">
          <a:extLst>
            <a:ext uri="{FF2B5EF4-FFF2-40B4-BE49-F238E27FC236}">
              <a16:creationId xmlns:a16="http://schemas.microsoft.com/office/drawing/2014/main" id="{FCA1B529-4ABD-442E-9C8D-AAF7F0DD8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28176</xdr:colOff>
      <xdr:row>4</xdr:row>
      <xdr:rowOff>62117</xdr:rowOff>
    </xdr:from>
    <xdr:to>
      <xdr:col>5</xdr:col>
      <xdr:colOff>97194</xdr:colOff>
      <xdr:row>15</xdr:row>
      <xdr:rowOff>165229</xdr:rowOff>
    </xdr:to>
    <xdr:sp macro="" textlink="">
      <xdr:nvSpPr>
        <xdr:cNvPr id="25" name="Rectangle: Rounded Corners 24">
          <a:extLst>
            <a:ext uri="{FF2B5EF4-FFF2-40B4-BE49-F238E27FC236}">
              <a16:creationId xmlns:a16="http://schemas.microsoft.com/office/drawing/2014/main" id="{EA961DA4-782C-4FFF-B9F7-6CCF002C042A}"/>
            </a:ext>
          </a:extLst>
        </xdr:cNvPr>
        <xdr:cNvSpPr/>
      </xdr:nvSpPr>
      <xdr:spPr>
        <a:xfrm>
          <a:off x="28176" y="800790"/>
          <a:ext cx="3548559" cy="21344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0</xdr:col>
      <xdr:colOff>378034</xdr:colOff>
      <xdr:row>3</xdr:row>
      <xdr:rowOff>16718</xdr:rowOff>
    </xdr:from>
    <xdr:to>
      <xdr:col>4</xdr:col>
      <xdr:colOff>425562</xdr:colOff>
      <xdr:row>15</xdr:row>
      <xdr:rowOff>106913</xdr:rowOff>
    </xdr:to>
    <xdr:graphicFrame macro="">
      <xdr:nvGraphicFramePr>
        <xdr:cNvPr id="31" name="Chart 30">
          <a:extLst>
            <a:ext uri="{FF2B5EF4-FFF2-40B4-BE49-F238E27FC236}">
              <a16:creationId xmlns:a16="http://schemas.microsoft.com/office/drawing/2014/main" id="{D4288E12-83E7-4A71-A8E8-9546C2D3B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301301</xdr:colOff>
      <xdr:row>16</xdr:row>
      <xdr:rowOff>33465</xdr:rowOff>
    </xdr:from>
    <xdr:to>
      <xdr:col>17</xdr:col>
      <xdr:colOff>194388</xdr:colOff>
      <xdr:row>28</xdr:row>
      <xdr:rowOff>162310</xdr:rowOff>
    </xdr:to>
    <xdr:sp macro="" textlink="">
      <xdr:nvSpPr>
        <xdr:cNvPr id="33" name="Rectangle: Rounded Corners 32">
          <a:extLst>
            <a:ext uri="{FF2B5EF4-FFF2-40B4-BE49-F238E27FC236}">
              <a16:creationId xmlns:a16="http://schemas.microsoft.com/office/drawing/2014/main" id="{DA57F081-6599-4BB4-B14F-77FD890392AA}"/>
            </a:ext>
          </a:extLst>
        </xdr:cNvPr>
        <xdr:cNvSpPr/>
      </xdr:nvSpPr>
      <xdr:spPr>
        <a:xfrm>
          <a:off x="5617806" y="2988159"/>
          <a:ext cx="5403980" cy="23448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8</xdr:col>
      <xdr:colOff>518449</xdr:colOff>
      <xdr:row>16</xdr:row>
      <xdr:rowOff>60285</xdr:rowOff>
    </xdr:from>
    <xdr:to>
      <xdr:col>16</xdr:col>
      <xdr:colOff>583163</xdr:colOff>
      <xdr:row>28</xdr:row>
      <xdr:rowOff>144684</xdr:rowOff>
    </xdr:to>
    <xdr:graphicFrame macro="">
      <xdr:nvGraphicFramePr>
        <xdr:cNvPr id="34" name="Chart 33">
          <a:extLst>
            <a:ext uri="{FF2B5EF4-FFF2-40B4-BE49-F238E27FC236}">
              <a16:creationId xmlns:a16="http://schemas.microsoft.com/office/drawing/2014/main" id="{8A16AA9D-B164-43EE-9E21-7C7D56E62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431318</xdr:colOff>
      <xdr:row>3</xdr:row>
      <xdr:rowOff>158670</xdr:rowOff>
    </xdr:from>
    <xdr:to>
      <xdr:col>19</xdr:col>
      <xdr:colOff>333375</xdr:colOff>
      <xdr:row>10</xdr:row>
      <xdr:rowOff>95400</xdr:rowOff>
    </xdr:to>
    <mc:AlternateContent xmlns:mc="http://schemas.openxmlformats.org/markup-compatibility/2006" xmlns:a14="http://schemas.microsoft.com/office/drawing/2010/main">
      <mc:Choice Requires="a14">
        <xdr:graphicFrame macro="">
          <xdr:nvGraphicFramePr>
            <xdr:cNvPr id="22" name="Payment Method">
              <a:extLst>
                <a:ext uri="{FF2B5EF4-FFF2-40B4-BE49-F238E27FC236}">
                  <a16:creationId xmlns:a16="http://schemas.microsoft.com/office/drawing/2014/main" id="{CD657D37-B274-4AE7-B276-243330B7D72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099318" y="730170"/>
              <a:ext cx="1759432" cy="1186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428625</xdr:colOff>
      <xdr:row>10</xdr:row>
      <xdr:rowOff>64786</xdr:rowOff>
    </xdr:from>
    <xdr:to>
      <xdr:col>19</xdr:col>
      <xdr:colOff>333375</xdr:colOff>
      <xdr:row>16</xdr:row>
      <xdr:rowOff>131723</xdr:rowOff>
    </xdr:to>
    <mc:AlternateContent xmlns:mc="http://schemas.openxmlformats.org/markup-compatibility/2006" xmlns:a14="http://schemas.microsoft.com/office/drawing/2010/main">
      <mc:Choice Requires="a14">
        <xdr:graphicFrame macro="">
          <xdr:nvGraphicFramePr>
            <xdr:cNvPr id="26" name="Product Category">
              <a:extLst>
                <a:ext uri="{FF2B5EF4-FFF2-40B4-BE49-F238E27FC236}">
                  <a16:creationId xmlns:a16="http://schemas.microsoft.com/office/drawing/2014/main" id="{3DAE17BF-CEA5-4598-93F4-891A94693B4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89995" y="1969786"/>
              <a:ext cx="1780661" cy="113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431961</xdr:colOff>
      <xdr:row>16</xdr:row>
      <xdr:rowOff>128930</xdr:rowOff>
    </xdr:from>
    <xdr:to>
      <xdr:col>19</xdr:col>
      <xdr:colOff>333375</xdr:colOff>
      <xdr:row>23</xdr:row>
      <xdr:rowOff>37526</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C0D183BB-E6B0-49B9-9A91-022C19A0266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099961" y="3176930"/>
              <a:ext cx="1746884" cy="1158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428626</xdr:colOff>
      <xdr:row>23</xdr:row>
      <xdr:rowOff>1929</xdr:rowOff>
    </xdr:from>
    <xdr:to>
      <xdr:col>19</xdr:col>
      <xdr:colOff>321470</xdr:colOff>
      <xdr:row>29</xdr:row>
      <xdr:rowOff>83495</xdr:rowOff>
    </xdr:to>
    <mc:AlternateContent xmlns:mc="http://schemas.openxmlformats.org/markup-compatibility/2006" xmlns:a14="http://schemas.microsoft.com/office/drawing/2010/main">
      <mc:Choice Requires="a14">
        <xdr:graphicFrame macro="">
          <xdr:nvGraphicFramePr>
            <xdr:cNvPr id="29" name="Order Date">
              <a:extLst>
                <a:ext uri="{FF2B5EF4-FFF2-40B4-BE49-F238E27FC236}">
                  <a16:creationId xmlns:a16="http://schemas.microsoft.com/office/drawing/2014/main" id="{0FCF64E2-F1FB-44DD-85E0-96239B747314}"/>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1112018" y="4383429"/>
              <a:ext cx="1746732" cy="1153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426118</xdr:colOff>
      <xdr:row>0</xdr:row>
      <xdr:rowOff>62664</xdr:rowOff>
    </xdr:from>
    <xdr:to>
      <xdr:col>19</xdr:col>
      <xdr:colOff>275724</xdr:colOff>
      <xdr:row>3</xdr:row>
      <xdr:rowOff>43466</xdr:rowOff>
    </xdr:to>
    <xdr:sp macro="" textlink="">
      <xdr:nvSpPr>
        <xdr:cNvPr id="36" name="Rectangle: Rounded Corners 35">
          <a:extLst>
            <a:ext uri="{FF2B5EF4-FFF2-40B4-BE49-F238E27FC236}">
              <a16:creationId xmlns:a16="http://schemas.microsoft.com/office/drawing/2014/main" id="{867822C2-575C-4A34-B6DF-79B0A86D148A}"/>
            </a:ext>
          </a:extLst>
        </xdr:cNvPr>
        <xdr:cNvSpPr/>
      </xdr:nvSpPr>
      <xdr:spPr>
        <a:xfrm>
          <a:off x="11279605" y="62664"/>
          <a:ext cx="1679408" cy="507184"/>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CUSTOMERS</a:t>
          </a:r>
        </a:p>
      </xdr:txBody>
    </xdr:sp>
    <xdr:clientData/>
  </xdr:twoCellAnchor>
  <xdr:twoCellAnchor>
    <xdr:from>
      <xdr:col>17</xdr:col>
      <xdr:colOff>1034651</xdr:colOff>
      <xdr:row>1</xdr:row>
      <xdr:rowOff>108061</xdr:rowOff>
    </xdr:from>
    <xdr:to>
      <xdr:col>19</xdr:col>
      <xdr:colOff>291248</xdr:colOff>
      <xdr:row>3</xdr:row>
      <xdr:rowOff>117585</xdr:rowOff>
    </xdr:to>
    <xdr:sp macro="" textlink="$V$19">
      <xdr:nvSpPr>
        <xdr:cNvPr id="37" name="TextBox 36">
          <a:extLst>
            <a:ext uri="{FF2B5EF4-FFF2-40B4-BE49-F238E27FC236}">
              <a16:creationId xmlns:a16="http://schemas.microsoft.com/office/drawing/2014/main" id="{12783612-4BB7-4D8B-BDA4-2FCD96B64B01}"/>
            </a:ext>
          </a:extLst>
        </xdr:cNvPr>
        <xdr:cNvSpPr txBox="1"/>
      </xdr:nvSpPr>
      <xdr:spPr>
        <a:xfrm>
          <a:off x="11888138" y="283522"/>
          <a:ext cx="1086399" cy="360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74E30F-1012-4DFC-84F7-357CE084C4BD}" type="TxLink">
            <a:rPr lang="en-US" sz="1600" b="1" i="0" u="none" strike="noStrike">
              <a:solidFill>
                <a:sysClr val="windowText" lastClr="000000"/>
              </a:solidFill>
              <a:latin typeface="Calibri"/>
              <a:cs typeface="Calibri"/>
            </a:rPr>
            <a:pPr/>
            <a:t> 300 </a:t>
          </a:fld>
          <a:endParaRPr lang="en-US" sz="1600" b="1">
            <a:solidFill>
              <a:sysClr val="windowText" lastClr="000000"/>
            </a:solidFill>
          </a:endParaRPr>
        </a:p>
      </xdr:txBody>
    </xdr:sp>
    <xdr:clientData/>
  </xdr:twoCellAnchor>
  <xdr:twoCellAnchor>
    <xdr:from>
      <xdr:col>15</xdr:col>
      <xdr:colOff>14196</xdr:colOff>
      <xdr:row>0</xdr:row>
      <xdr:rowOff>59531</xdr:rowOff>
    </xdr:from>
    <xdr:to>
      <xdr:col>17</xdr:col>
      <xdr:colOff>359068</xdr:colOff>
      <xdr:row>3</xdr:row>
      <xdr:rowOff>40480</xdr:rowOff>
    </xdr:to>
    <xdr:sp macro="" textlink="">
      <xdr:nvSpPr>
        <xdr:cNvPr id="38" name="Rectangle: Rounded Corners 37">
          <a:extLst>
            <a:ext uri="{FF2B5EF4-FFF2-40B4-BE49-F238E27FC236}">
              <a16:creationId xmlns:a16="http://schemas.microsoft.com/office/drawing/2014/main" id="{9BDE4A1F-D968-4503-AE1E-629F593A0575}"/>
            </a:ext>
          </a:extLst>
        </xdr:cNvPr>
        <xdr:cNvSpPr/>
      </xdr:nvSpPr>
      <xdr:spPr>
        <a:xfrm>
          <a:off x="9639459" y="59531"/>
          <a:ext cx="1573096" cy="507331"/>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TOTAL ORDERS</a:t>
          </a:r>
        </a:p>
      </xdr:txBody>
    </xdr:sp>
    <xdr:clientData/>
  </xdr:twoCellAnchor>
  <xdr:twoCellAnchor>
    <xdr:from>
      <xdr:col>16</xdr:col>
      <xdr:colOff>32156</xdr:colOff>
      <xdr:row>1</xdr:row>
      <xdr:rowOff>79485</xdr:rowOff>
    </xdr:from>
    <xdr:to>
      <xdr:col>17</xdr:col>
      <xdr:colOff>486975</xdr:colOff>
      <xdr:row>3</xdr:row>
      <xdr:rowOff>60434</xdr:rowOff>
    </xdr:to>
    <xdr:sp macro="" textlink="$V$18">
      <xdr:nvSpPr>
        <xdr:cNvPr id="14" name="TextBox 13">
          <a:extLst>
            <a:ext uri="{FF2B5EF4-FFF2-40B4-BE49-F238E27FC236}">
              <a16:creationId xmlns:a16="http://schemas.microsoft.com/office/drawing/2014/main" id="{5BAC9963-8C8E-4F27-A222-E78547CD8E16}"/>
            </a:ext>
          </a:extLst>
        </xdr:cNvPr>
        <xdr:cNvSpPr txBox="1"/>
      </xdr:nvSpPr>
      <xdr:spPr>
        <a:xfrm>
          <a:off x="10271531" y="254946"/>
          <a:ext cx="1068931" cy="331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3C5CF3-0396-4504-97BC-9AE8F13B45F9}" type="TxLink">
            <a:rPr lang="en-US" sz="1600" b="1" i="0" u="none" strike="noStrike">
              <a:solidFill>
                <a:sysClr val="windowText" lastClr="000000"/>
              </a:solidFill>
              <a:latin typeface="Calibri"/>
              <a:cs typeface="Calibri"/>
            </a:rPr>
            <a:pPr/>
            <a:t> 300 </a:t>
          </a:fld>
          <a:endParaRPr lang="en-US" sz="16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2.790828472222" createdVersion="7" refreshedVersion="7" minRefreshableVersion="3" recordCount="300" xr:uid="{D07B5AB0-05D0-4F8F-A2BB-382D51194DA6}">
  <cacheSource type="worksheet">
    <worksheetSource name="Table2"/>
  </cacheSource>
  <cacheFields count="18">
    <cacheField name="Order ID" numFmtId="0">
      <sharedItems/>
    </cacheField>
    <cacheField name="Order Date" numFmtId="164">
      <sharedItems containsSemiMixedTypes="0" containsNonDate="0" containsDate="1" containsString="0" minDate="2025-01-01T00:00:00" maxDate="2026-01-01T00:00:00" count="212">
        <d v="2025-09-02T00:00:00"/>
        <d v="2025-10-17T00:00:00"/>
        <d v="2025-07-03T00:00:00"/>
        <d v="2025-01-18T00:00:00"/>
        <d v="2025-01-10T00:00:00"/>
        <d v="2025-06-23T00:00:00"/>
        <d v="2025-03-08T00:00:00"/>
        <d v="2025-07-23T00:00:00"/>
        <d v="2025-11-17T00:00:00"/>
        <d v="2025-09-11T00:00:00"/>
        <d v="2025-01-08T00:00:00"/>
        <d v="2025-01-22T00:00:00"/>
        <d v="2025-06-21T00:00:00"/>
        <d v="2025-04-12T00:00:00"/>
        <d v="2025-11-11T00:00:00"/>
        <d v="2025-11-23T00:00:00"/>
        <d v="2025-08-20T00:00:00"/>
        <d v="2025-09-06T00:00:00"/>
        <d v="2025-04-26T00:00:00"/>
        <d v="2025-10-04T00:00:00"/>
        <d v="2025-01-17T00:00:00"/>
        <d v="2025-06-14T00:00:00"/>
        <d v="2025-02-13T00:00:00"/>
        <d v="2025-12-12T00:00:00"/>
        <d v="2025-08-18T00:00:00"/>
        <d v="2025-01-21T00:00:00"/>
        <d v="2025-05-13T00:00:00"/>
        <d v="2025-04-22T00:00:00"/>
        <d v="2025-10-20T00:00:00"/>
        <d v="2025-05-28T00:00:00"/>
        <d v="2025-12-19T00:00:00"/>
        <d v="2025-02-15T00:00:00"/>
        <d v="2025-12-15T00:00:00"/>
        <d v="2025-11-10T00:00:00"/>
        <d v="2025-06-10T00:00:00"/>
        <d v="2025-03-07T00:00:00"/>
        <d v="2025-01-02T00:00:00"/>
        <d v="2025-12-13T00:00:00"/>
        <d v="2025-01-20T00:00:00"/>
        <d v="2025-04-17T00:00:00"/>
        <d v="2025-09-26T00:00:00"/>
        <d v="2025-06-26T00:00:00"/>
        <d v="2025-08-23T00:00:00"/>
        <d v="2025-09-16T00:00:00"/>
        <d v="2025-06-02T00:00:00"/>
        <d v="2025-04-24T00:00:00"/>
        <d v="2025-10-30T00:00:00"/>
        <d v="2025-02-09T00:00:00"/>
        <d v="2025-02-04T00:00:00"/>
        <d v="2025-07-04T00:00:00"/>
        <d v="2025-01-16T00:00:00"/>
        <d v="2025-03-29T00:00:00"/>
        <d v="2025-05-05T00:00:00"/>
        <d v="2025-11-05T00:00:00"/>
        <d v="2025-07-31T00:00:00"/>
        <d v="2025-10-28T00:00:00"/>
        <d v="2025-06-01T00:00:00"/>
        <d v="2025-10-03T00:00:00"/>
        <d v="2025-08-02T00:00:00"/>
        <d v="2025-08-25T00:00:00"/>
        <d v="2025-12-17T00:00:00"/>
        <d v="2025-06-19T00:00:00"/>
        <d v="2025-06-07T00:00:00"/>
        <d v="2025-11-08T00:00:00"/>
        <d v="2025-04-08T00:00:00"/>
        <d v="2025-06-22T00:00:00"/>
        <d v="2025-07-07T00:00:00"/>
        <d v="2025-06-28T00:00:00"/>
        <d v="2025-08-07T00:00:00"/>
        <d v="2025-05-08T00:00:00"/>
        <d v="2025-03-26T00:00:00"/>
        <d v="2025-12-23T00:00:00"/>
        <d v="2025-08-03T00:00:00"/>
        <d v="2025-03-11T00:00:00"/>
        <d v="2025-09-12T00:00:00"/>
        <d v="2025-08-12T00:00:00"/>
        <d v="2025-02-26T00:00:00"/>
        <d v="2025-04-05T00:00:00"/>
        <d v="2025-08-10T00:00:00"/>
        <d v="2025-05-15T00:00:00"/>
        <d v="2025-04-21T00:00:00"/>
        <d v="2025-01-09T00:00:00"/>
        <d v="2025-02-11T00:00:00"/>
        <d v="2025-11-04T00:00:00"/>
        <d v="2025-05-27T00:00:00"/>
        <d v="2025-08-22T00:00:00"/>
        <d v="2025-12-27T00:00:00"/>
        <d v="2025-01-14T00:00:00"/>
        <d v="2025-01-11T00:00:00"/>
        <d v="2025-05-18T00:00:00"/>
        <d v="2025-11-12T00:00:00"/>
        <d v="2025-06-13T00:00:00"/>
        <d v="2025-07-13T00:00:00"/>
        <d v="2025-12-06T00:00:00"/>
        <d v="2025-08-19T00:00:00"/>
        <d v="2025-05-21T00:00:00"/>
        <d v="2025-07-17T00:00:00"/>
        <d v="2025-04-07T00:00:00"/>
        <d v="2025-09-30T00:00:00"/>
        <d v="2025-12-03T00:00:00"/>
        <d v="2025-01-23T00:00:00"/>
        <d v="2025-11-27T00:00:00"/>
        <d v="2025-02-01T00:00:00"/>
        <d v="2025-01-03T00:00:00"/>
        <d v="2025-07-15T00:00:00"/>
        <d v="2025-05-11T00:00:00"/>
        <d v="2025-04-14T00:00:00"/>
        <d v="2025-03-12T00:00:00"/>
        <d v="2025-02-07T00:00:00"/>
        <d v="2025-12-07T00:00:00"/>
        <d v="2025-06-25T00:00:00"/>
        <d v="2025-10-13T00:00:00"/>
        <d v="2025-04-23T00:00:00"/>
        <d v="2025-03-02T00:00:00"/>
        <d v="2025-07-25T00:00:00"/>
        <d v="2025-03-18T00:00:00"/>
        <d v="2025-06-05T00:00:00"/>
        <d v="2025-04-01T00:00:00"/>
        <d v="2025-12-16T00:00:00"/>
        <d v="2025-02-17T00:00:00"/>
        <d v="2025-09-10T00:00:00"/>
        <d v="2025-05-30T00:00:00"/>
        <d v="2025-12-18T00:00:00"/>
        <d v="2025-03-31T00:00:00"/>
        <d v="2025-09-23T00:00:00"/>
        <d v="2025-02-23T00:00:00"/>
        <d v="2025-03-03T00:00:00"/>
        <d v="2025-04-27T00:00:00"/>
        <d v="2025-09-25T00:00:00"/>
        <d v="2025-09-13T00:00:00"/>
        <d v="2025-07-09T00:00:00"/>
        <d v="2025-04-18T00:00:00"/>
        <d v="2025-10-12T00:00:00"/>
        <d v="2025-11-21T00:00:00"/>
        <d v="2025-06-09T00:00:00"/>
        <d v="2025-07-01T00:00:00"/>
        <d v="2025-08-14T00:00:00"/>
        <d v="2025-05-22T00:00:00"/>
        <d v="2025-08-15T00:00:00"/>
        <d v="2025-04-03T00:00:00"/>
        <d v="2025-09-29T00:00:00"/>
        <d v="2025-11-01T00:00:00"/>
        <d v="2025-10-14T00:00:00"/>
        <d v="2025-12-29T00:00:00"/>
        <d v="2025-03-23T00:00:00"/>
        <d v="2025-10-10T00:00:00"/>
        <d v="2025-12-25T00:00:00"/>
        <d v="2025-07-18T00:00:00"/>
        <d v="2025-07-12T00:00:00"/>
        <d v="2025-11-29T00:00:00"/>
        <d v="2025-07-05T00:00:00"/>
        <d v="2025-05-19T00:00:00"/>
        <d v="2025-08-29T00:00:00"/>
        <d v="2025-12-31T00:00:00"/>
        <d v="2025-11-15T00:00:00"/>
        <d v="2025-06-17T00:00:00"/>
        <d v="2025-09-09T00:00:00"/>
        <d v="2025-10-19T00:00:00"/>
        <d v="2025-10-23T00:00:00"/>
        <d v="2025-12-24T00:00:00"/>
        <d v="2025-10-31T00:00:00"/>
        <d v="2025-01-06T00:00:00"/>
        <d v="2025-03-13T00:00:00"/>
        <d v="2025-05-24T00:00:00"/>
        <d v="2025-03-04T00:00:00"/>
        <d v="2025-02-14T00:00:00"/>
        <d v="2025-09-17T00:00:00"/>
        <d v="2025-12-21T00:00:00"/>
        <d v="2025-01-01T00:00:00"/>
        <d v="2025-07-27T00:00:00"/>
        <d v="2025-02-22T00:00:00"/>
        <d v="2025-02-08T00:00:00"/>
        <d v="2025-01-15T00:00:00"/>
        <d v="2025-06-20T00:00:00"/>
        <d v="2025-12-26T00:00:00"/>
        <d v="2025-04-25T00:00:00"/>
        <d v="2025-05-04T00:00:00"/>
        <d v="2025-04-16T00:00:00"/>
        <d v="2025-03-30T00:00:00"/>
        <d v="2025-03-05T00:00:00"/>
        <d v="2025-12-14T00:00:00"/>
        <d v="2025-08-11T00:00:00"/>
        <d v="2025-02-10T00:00:00"/>
        <d v="2025-10-26T00:00:00"/>
        <d v="2025-08-01T00:00:00"/>
        <d v="2025-11-26T00:00:00"/>
        <d v="2025-09-08T00:00:00"/>
        <d v="2025-10-09T00:00:00"/>
        <d v="2025-06-24T00:00:00"/>
        <d v="2025-09-20T00:00:00"/>
        <d v="2025-08-28T00:00:00"/>
        <d v="2025-02-12T00:00:00"/>
        <d v="2025-09-15T00:00:00"/>
        <d v="2025-08-06T00:00:00"/>
        <d v="2025-02-18T00:00:00"/>
        <d v="2025-08-04T00:00:00"/>
        <d v="2025-03-16T00:00:00"/>
        <d v="2025-05-10T00:00:00"/>
        <d v="2025-10-07T00:00:00"/>
        <d v="2025-01-26T00:00:00"/>
        <d v="2025-12-11T00:00:00"/>
        <d v="2025-10-25T00:00:00"/>
        <d v="2025-04-20T00:00:00"/>
        <d v="2025-11-25T00:00:00"/>
        <d v="2025-06-12T00:00:00"/>
        <d v="2025-07-14T00:00:00"/>
        <d v="2025-12-22T00:00:00"/>
        <d v="2025-01-04T00:00:00"/>
        <d v="2025-09-21T00:00:00"/>
        <d v="2025-12-09T00:00:00"/>
        <d v="2025-07-16T00:00:00"/>
        <d v="2025-05-07T00:00:00"/>
      </sharedItems>
      <fieldGroup base="1">
        <rangePr groupBy="months" startDate="2025-01-01T00:00:00" endDate="2026-01-01T00:00:00"/>
        <groupItems count="14">
          <s v="&lt;1/1/2025"/>
          <s v="Jan"/>
          <s v="Feb"/>
          <s v="Mar"/>
          <s v="Apr"/>
          <s v="May"/>
          <s v="Jun"/>
          <s v="Jul"/>
          <s v="Aug"/>
          <s v="Sep"/>
          <s v="Oct"/>
          <s v="Nov"/>
          <s v="Dec"/>
          <s v="&gt;1/1/2026"/>
        </groupItems>
      </fieldGroup>
    </cacheField>
    <cacheField name="Customer Name" numFmtId="0">
      <sharedItems count="13">
        <s v="Grace"/>
        <s v="Miriam"/>
        <s v="Esther"/>
        <s v="Precious"/>
        <s v="John"/>
        <s v="Chioma"/>
        <s v="Amara"/>
        <s v="Favour"/>
        <s v="Joy"/>
        <s v="Daniel"/>
        <s v="Michael"/>
        <s v="Deborah"/>
        <s v="Ada"/>
      </sharedItems>
    </cacheField>
    <cacheField name="Gender" numFmtId="0">
      <sharedItems count="2">
        <s v="Male"/>
        <s v="Female"/>
      </sharedItems>
    </cacheField>
    <cacheField name="Age" numFmtId="0">
      <sharedItems containsSemiMixedTypes="0" containsString="0" containsNumber="1" containsInteger="1" minValue="18" maxValue="55"/>
    </cacheField>
    <cacheField name="City" numFmtId="0">
      <sharedItems count="5">
        <s v="Enugu"/>
        <s v="Port Harcourt"/>
        <s v="Ibadan"/>
        <s v="Abuja"/>
        <s v="Lagos"/>
      </sharedItems>
    </cacheField>
    <cacheField name="Product Category" numFmtId="0">
      <sharedItems count="5">
        <s v="Dresses"/>
        <s v="Tops"/>
        <s v="Bags"/>
        <s v="Trousers"/>
        <s v="Shoes"/>
      </sharedItems>
    </cacheField>
    <cacheField name="Product" numFmtId="0">
      <sharedItems count="10">
        <s v="Bodycon Dress"/>
        <s v="Crop Top"/>
        <s v="Handbag"/>
        <s v="Jeans"/>
        <s v="Palazzo Pants"/>
        <s v="Tote Bag"/>
        <s v="Heels"/>
        <s v="Maxi Dress"/>
        <s v="Blouse"/>
        <s v="Sneakers"/>
      </sharedItems>
    </cacheField>
    <cacheField name="Size" numFmtId="0">
      <sharedItems/>
    </cacheField>
    <cacheField name="Color" numFmtId="0">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8000" maxValue="25000"/>
    </cacheField>
    <cacheField name="Discount (%)" numFmtId="0">
      <sharedItems containsSemiMixedTypes="0" containsString="0" containsNumber="1" containsInteger="1" minValue="0" maxValue="15"/>
    </cacheField>
    <cacheField name="Sales" numFmtId="0">
      <sharedItems containsSemiMixedTypes="0" containsString="0" containsNumber="1" containsInteger="1" minValue="6800" maxValue="100000" count="101">
        <n v="13500"/>
        <n v="57000"/>
        <n v="6800"/>
        <n v="36000"/>
        <n v="43200"/>
        <n v="23800"/>
        <n v="54000"/>
        <n v="22800"/>
        <n v="51000"/>
        <n v="17000"/>
        <n v="88000"/>
        <n v="51300"/>
        <n v="30000"/>
        <n v="72000"/>
        <n v="39600"/>
        <n v="47500"/>
        <n v="56100"/>
        <n v="37800"/>
        <n v="61200"/>
        <n v="18000"/>
        <n v="79200"/>
        <n v="28500"/>
        <n v="30400"/>
        <n v="18700"/>
        <n v="59400"/>
        <n v="44000"/>
        <n v="67500"/>
        <n v="13300"/>
        <n v="14250"/>
        <n v="63750"/>
        <n v="48000"/>
        <n v="15200"/>
        <n v="20000"/>
        <n v="50000"/>
        <n v="21250"/>
        <n v="15000"/>
        <n v="19800"/>
        <n v="28000"/>
        <n v="40800"/>
        <n v="23750"/>
        <n v="85000"/>
        <n v="42500"/>
        <n v="34200"/>
        <n v="12600"/>
        <n v="40000"/>
        <n v="12750"/>
        <n v="8500"/>
        <n v="22000"/>
        <n v="16000"/>
        <n v="27000"/>
        <n v="32000"/>
        <n v="75000"/>
        <n v="38250"/>
        <n v="45000"/>
        <n v="42000"/>
        <n v="30600"/>
        <n v="83600"/>
        <n v="20900"/>
        <n v="7200"/>
        <n v="20400"/>
        <n v="48600"/>
        <n v="7600"/>
        <n v="38000"/>
        <n v="54400"/>
        <n v="45900"/>
        <n v="27200"/>
        <n v="100000"/>
        <n v="76000"/>
        <n v="11900"/>
        <n v="28800"/>
        <n v="35700"/>
        <n v="14000"/>
        <n v="50400"/>
        <n v="80000"/>
        <n v="37400"/>
        <n v="17100"/>
        <n v="25000"/>
        <n v="56000"/>
        <n v="14400"/>
        <n v="21600"/>
        <n v="19000"/>
        <n v="24000"/>
        <n v="25500"/>
        <n v="10000"/>
        <n v="68400"/>
        <n v="64000"/>
        <n v="95000"/>
        <n v="60000"/>
        <n v="15300"/>
        <n v="90000"/>
        <n v="40500"/>
        <n v="26600"/>
        <n v="53200"/>
        <n v="60800"/>
        <n v="57600"/>
        <n v="9000"/>
        <n v="13600"/>
        <n v="62700"/>
        <n v="66000"/>
        <n v="68000"/>
        <n v="22500"/>
      </sharedItems>
    </cacheField>
    <cacheField name="Cost" numFmtId="0">
      <sharedItems containsSemiMixedTypes="0" containsString="0" containsNumber="1" containsInteger="1" minValue="4500" maxValue="68000"/>
    </cacheField>
    <cacheField name="Profit" numFmtId="0">
      <sharedItems containsSemiMixedTypes="0" containsString="0" containsNumber="1" containsInteger="1" minValue="2300" maxValue="32000"/>
    </cacheField>
    <cacheField name="Payment Method" numFmtId="0">
      <sharedItems count="3">
        <s v="POS"/>
        <s v="Transfer"/>
        <s v="Cash"/>
      </sharedItems>
    </cacheField>
    <cacheField name="Salesperson" numFmtId="0">
      <sharedItems/>
    </cacheField>
  </cacheFields>
  <extLst>
    <ext xmlns:x14="http://schemas.microsoft.com/office/spreadsheetml/2009/9/main" uri="{725AE2AE-9491-48be-B2B4-4EB974FC3084}">
      <x14:pivotCacheDefinition pivotCacheId="897717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2"/>
    <x v="0"/>
    <x v="0"/>
    <x v="0"/>
    <n v="23"/>
    <x v="0"/>
    <x v="0"/>
    <x v="0"/>
    <s v="M"/>
    <s v="Beige"/>
    <n v="1"/>
    <n v="15000"/>
    <n v="10"/>
    <x v="0"/>
    <n v="9000"/>
    <n v="4500"/>
    <x v="0"/>
    <s v="Chi"/>
  </r>
  <r>
    <s v="ORD1003"/>
    <x v="1"/>
    <x v="1"/>
    <x v="0"/>
    <n v="48"/>
    <x v="1"/>
    <x v="0"/>
    <x v="0"/>
    <s v="S"/>
    <s v="Red"/>
    <n v="4"/>
    <n v="15000"/>
    <n v="5"/>
    <x v="1"/>
    <n v="36000"/>
    <n v="21000"/>
    <x v="0"/>
    <s v="Maya"/>
  </r>
  <r>
    <s v="ORD1004"/>
    <x v="2"/>
    <x v="2"/>
    <x v="0"/>
    <n v="39"/>
    <x v="1"/>
    <x v="1"/>
    <x v="1"/>
    <s v="S"/>
    <s v="Red"/>
    <n v="1"/>
    <n v="8000"/>
    <n v="15"/>
    <x v="2"/>
    <n v="4500"/>
    <n v="2300"/>
    <x v="0"/>
    <s v="Ella"/>
  </r>
  <r>
    <s v="ORD1005"/>
    <x v="3"/>
    <x v="3"/>
    <x v="1"/>
    <n v="36"/>
    <x v="2"/>
    <x v="2"/>
    <x v="2"/>
    <s v="L"/>
    <s v="Pink"/>
    <n v="2"/>
    <n v="20000"/>
    <n v="10"/>
    <x v="3"/>
    <n v="24000"/>
    <n v="12000"/>
    <x v="1"/>
    <s v="Chi"/>
  </r>
  <r>
    <s v="ORD1006"/>
    <x v="4"/>
    <x v="1"/>
    <x v="0"/>
    <n v="29"/>
    <x v="3"/>
    <x v="3"/>
    <x v="3"/>
    <s v="S"/>
    <s v="Black"/>
    <n v="3"/>
    <n v="16000"/>
    <n v="10"/>
    <x v="4"/>
    <n v="30000"/>
    <n v="13200"/>
    <x v="0"/>
    <s v="Maya"/>
  </r>
  <r>
    <s v="ORD1007"/>
    <x v="5"/>
    <x v="4"/>
    <x v="1"/>
    <n v="41"/>
    <x v="3"/>
    <x v="2"/>
    <x v="2"/>
    <s v="M"/>
    <s v="Red"/>
    <n v="2"/>
    <n v="20000"/>
    <n v="10"/>
    <x v="3"/>
    <n v="24000"/>
    <n v="12000"/>
    <x v="0"/>
    <s v="Ella"/>
  </r>
  <r>
    <s v="ORD1008"/>
    <x v="6"/>
    <x v="5"/>
    <x v="0"/>
    <n v="40"/>
    <x v="2"/>
    <x v="3"/>
    <x v="4"/>
    <s v="L"/>
    <s v="Black"/>
    <n v="2"/>
    <n v="14000"/>
    <n v="15"/>
    <x v="5"/>
    <n v="17000"/>
    <n v="6800"/>
    <x v="0"/>
    <s v="Tobi"/>
  </r>
  <r>
    <s v="ORD1009"/>
    <x v="7"/>
    <x v="5"/>
    <x v="0"/>
    <n v="50"/>
    <x v="2"/>
    <x v="2"/>
    <x v="5"/>
    <s v="L"/>
    <s v="Black"/>
    <n v="4"/>
    <n v="15000"/>
    <n v="10"/>
    <x v="6"/>
    <n v="36000"/>
    <n v="18000"/>
    <x v="1"/>
    <s v="Ella"/>
  </r>
  <r>
    <s v="ORD1010"/>
    <x v="8"/>
    <x v="6"/>
    <x v="0"/>
    <n v="51"/>
    <x v="1"/>
    <x v="1"/>
    <x v="1"/>
    <s v="M"/>
    <s v="Pink"/>
    <n v="3"/>
    <n v="8000"/>
    <n v="5"/>
    <x v="7"/>
    <n v="13500"/>
    <n v="9300"/>
    <x v="0"/>
    <s v="Ella"/>
  </r>
  <r>
    <s v="ORD1011"/>
    <x v="9"/>
    <x v="3"/>
    <x v="1"/>
    <n v="32"/>
    <x v="0"/>
    <x v="2"/>
    <x v="5"/>
    <s v="S"/>
    <s v="Beige"/>
    <n v="4"/>
    <n v="15000"/>
    <n v="15"/>
    <x v="8"/>
    <n v="36000"/>
    <n v="15000"/>
    <x v="2"/>
    <s v="Chi"/>
  </r>
  <r>
    <s v="ORD1012"/>
    <x v="10"/>
    <x v="0"/>
    <x v="1"/>
    <n v="21"/>
    <x v="0"/>
    <x v="2"/>
    <x v="2"/>
    <s v="M"/>
    <s v="Blue"/>
    <n v="1"/>
    <n v="20000"/>
    <n v="15"/>
    <x v="9"/>
    <n v="12000"/>
    <n v="5000"/>
    <x v="2"/>
    <s v="Tobi"/>
  </r>
  <r>
    <s v="ORD1013"/>
    <x v="11"/>
    <x v="6"/>
    <x v="1"/>
    <n v="29"/>
    <x v="4"/>
    <x v="4"/>
    <x v="6"/>
    <s v="XL"/>
    <s v="Red"/>
    <n v="4"/>
    <n v="22000"/>
    <n v="0"/>
    <x v="10"/>
    <n v="56000"/>
    <n v="32000"/>
    <x v="1"/>
    <s v="Maya"/>
  </r>
  <r>
    <s v="ORD1014"/>
    <x v="12"/>
    <x v="7"/>
    <x v="0"/>
    <n v="44"/>
    <x v="0"/>
    <x v="0"/>
    <x v="7"/>
    <s v="L"/>
    <s v="Black"/>
    <n v="3"/>
    <n v="18000"/>
    <n v="5"/>
    <x v="11"/>
    <n v="33000"/>
    <n v="18300"/>
    <x v="1"/>
    <s v="Ella"/>
  </r>
  <r>
    <s v="ORD1015"/>
    <x v="13"/>
    <x v="7"/>
    <x v="0"/>
    <n v="25"/>
    <x v="3"/>
    <x v="1"/>
    <x v="8"/>
    <s v="XL"/>
    <s v="Black"/>
    <n v="3"/>
    <n v="10000"/>
    <n v="0"/>
    <x v="12"/>
    <n v="18000"/>
    <n v="12000"/>
    <x v="0"/>
    <s v="Maya"/>
  </r>
  <r>
    <s v="ORD1016"/>
    <x v="14"/>
    <x v="8"/>
    <x v="0"/>
    <n v="49"/>
    <x v="2"/>
    <x v="2"/>
    <x v="2"/>
    <s v="L"/>
    <s v="Blue"/>
    <n v="4"/>
    <n v="20000"/>
    <n v="10"/>
    <x v="13"/>
    <n v="48000"/>
    <n v="24000"/>
    <x v="0"/>
    <s v="Maya"/>
  </r>
  <r>
    <s v="ORD1017"/>
    <x v="15"/>
    <x v="3"/>
    <x v="1"/>
    <n v="19"/>
    <x v="1"/>
    <x v="4"/>
    <x v="6"/>
    <s v="L"/>
    <s v="Blue"/>
    <n v="2"/>
    <n v="22000"/>
    <n v="10"/>
    <x v="14"/>
    <n v="28000"/>
    <n v="11600"/>
    <x v="0"/>
    <s v="Maya"/>
  </r>
  <r>
    <s v="ORD1018"/>
    <x v="16"/>
    <x v="9"/>
    <x v="1"/>
    <n v="32"/>
    <x v="1"/>
    <x v="4"/>
    <x v="9"/>
    <s v="M"/>
    <s v="Pink"/>
    <n v="2"/>
    <n v="25000"/>
    <n v="5"/>
    <x v="15"/>
    <n v="34000"/>
    <n v="13500"/>
    <x v="0"/>
    <s v="Chi"/>
  </r>
  <r>
    <s v="ORD1019"/>
    <x v="17"/>
    <x v="4"/>
    <x v="0"/>
    <n v="55"/>
    <x v="4"/>
    <x v="4"/>
    <x v="6"/>
    <s v="L"/>
    <s v="Pink"/>
    <n v="3"/>
    <n v="22000"/>
    <n v="15"/>
    <x v="16"/>
    <n v="42000"/>
    <n v="14100"/>
    <x v="2"/>
    <s v="Chi"/>
  </r>
  <r>
    <s v="ORD1020"/>
    <x v="18"/>
    <x v="8"/>
    <x v="0"/>
    <n v="39"/>
    <x v="1"/>
    <x v="3"/>
    <x v="4"/>
    <s v="XL"/>
    <s v="Blue"/>
    <n v="3"/>
    <n v="14000"/>
    <n v="10"/>
    <x v="17"/>
    <n v="25500"/>
    <n v="12300"/>
    <x v="1"/>
    <s v="Tobi"/>
  </r>
  <r>
    <s v="ORD1021"/>
    <x v="19"/>
    <x v="10"/>
    <x v="1"/>
    <n v="25"/>
    <x v="0"/>
    <x v="0"/>
    <x v="7"/>
    <s v="XL"/>
    <s v="Pink"/>
    <n v="4"/>
    <n v="18000"/>
    <n v="15"/>
    <x v="18"/>
    <n v="44000"/>
    <n v="17200"/>
    <x v="2"/>
    <s v="Chi"/>
  </r>
  <r>
    <s v="ORD1022"/>
    <x v="20"/>
    <x v="10"/>
    <x v="1"/>
    <n v="33"/>
    <x v="0"/>
    <x v="1"/>
    <x v="8"/>
    <s v="M"/>
    <s v="Black"/>
    <n v="2"/>
    <n v="10000"/>
    <n v="10"/>
    <x v="19"/>
    <n v="12000"/>
    <n v="6000"/>
    <x v="1"/>
    <s v="Maya"/>
  </r>
  <r>
    <s v="ORD1023"/>
    <x v="21"/>
    <x v="11"/>
    <x v="1"/>
    <n v="43"/>
    <x v="4"/>
    <x v="4"/>
    <x v="6"/>
    <s v="L"/>
    <s v="Red"/>
    <n v="4"/>
    <n v="22000"/>
    <n v="10"/>
    <x v="20"/>
    <n v="56000"/>
    <n v="23200"/>
    <x v="2"/>
    <s v="Chi"/>
  </r>
  <r>
    <s v="ORD1024"/>
    <x v="22"/>
    <x v="12"/>
    <x v="1"/>
    <n v="30"/>
    <x v="0"/>
    <x v="1"/>
    <x v="8"/>
    <s v="S"/>
    <s v="Black"/>
    <n v="3"/>
    <n v="10000"/>
    <n v="5"/>
    <x v="21"/>
    <n v="18000"/>
    <n v="10500"/>
    <x v="0"/>
    <s v="Chi"/>
  </r>
  <r>
    <s v="ORD1025"/>
    <x v="23"/>
    <x v="7"/>
    <x v="0"/>
    <n v="47"/>
    <x v="3"/>
    <x v="3"/>
    <x v="3"/>
    <s v="M"/>
    <s v="Black"/>
    <n v="2"/>
    <n v="16000"/>
    <n v="5"/>
    <x v="22"/>
    <n v="20000"/>
    <n v="10400"/>
    <x v="2"/>
    <s v="Chi"/>
  </r>
  <r>
    <s v="ORD1026"/>
    <x v="12"/>
    <x v="4"/>
    <x v="1"/>
    <n v="49"/>
    <x v="4"/>
    <x v="4"/>
    <x v="6"/>
    <s v="XL"/>
    <s v="Pink"/>
    <n v="1"/>
    <n v="22000"/>
    <n v="15"/>
    <x v="23"/>
    <n v="14000"/>
    <n v="4700"/>
    <x v="2"/>
    <s v="Chi"/>
  </r>
  <r>
    <s v="ORD1027"/>
    <x v="3"/>
    <x v="9"/>
    <x v="0"/>
    <n v="22"/>
    <x v="2"/>
    <x v="2"/>
    <x v="5"/>
    <s v="L"/>
    <s v="White"/>
    <n v="1"/>
    <n v="15000"/>
    <n v="10"/>
    <x v="0"/>
    <n v="9000"/>
    <n v="4500"/>
    <x v="1"/>
    <s v="Chi"/>
  </r>
  <r>
    <s v="ORD1028"/>
    <x v="24"/>
    <x v="9"/>
    <x v="1"/>
    <n v="37"/>
    <x v="4"/>
    <x v="4"/>
    <x v="6"/>
    <s v="M"/>
    <s v="Red"/>
    <n v="3"/>
    <n v="22000"/>
    <n v="10"/>
    <x v="24"/>
    <n v="42000"/>
    <n v="17400"/>
    <x v="1"/>
    <s v="Chi"/>
  </r>
  <r>
    <s v="ORD1029"/>
    <x v="25"/>
    <x v="8"/>
    <x v="1"/>
    <n v="29"/>
    <x v="4"/>
    <x v="4"/>
    <x v="6"/>
    <s v="XL"/>
    <s v="White"/>
    <n v="2"/>
    <n v="22000"/>
    <n v="0"/>
    <x v="25"/>
    <n v="28000"/>
    <n v="16000"/>
    <x v="0"/>
    <s v="Maya"/>
  </r>
  <r>
    <s v="ORD1030"/>
    <x v="26"/>
    <x v="9"/>
    <x v="0"/>
    <n v="52"/>
    <x v="4"/>
    <x v="4"/>
    <x v="9"/>
    <s v="M"/>
    <s v="Beige"/>
    <n v="3"/>
    <n v="25000"/>
    <n v="10"/>
    <x v="26"/>
    <n v="51000"/>
    <n v="16500"/>
    <x v="0"/>
    <s v="Chi"/>
  </r>
  <r>
    <s v="ORD1031"/>
    <x v="27"/>
    <x v="10"/>
    <x v="1"/>
    <n v="50"/>
    <x v="1"/>
    <x v="0"/>
    <x v="7"/>
    <s v="L"/>
    <s v="Beige"/>
    <n v="3"/>
    <n v="18000"/>
    <n v="0"/>
    <x v="6"/>
    <n v="33000"/>
    <n v="21000"/>
    <x v="1"/>
    <s v="Maya"/>
  </r>
  <r>
    <s v="ORD1032"/>
    <x v="28"/>
    <x v="5"/>
    <x v="1"/>
    <n v="29"/>
    <x v="1"/>
    <x v="3"/>
    <x v="4"/>
    <s v="L"/>
    <s v="Blue"/>
    <n v="1"/>
    <n v="14000"/>
    <n v="5"/>
    <x v="27"/>
    <n v="8500"/>
    <n v="4800"/>
    <x v="2"/>
    <s v="Chi"/>
  </r>
  <r>
    <s v="ORD1033"/>
    <x v="29"/>
    <x v="4"/>
    <x v="1"/>
    <n v="20"/>
    <x v="1"/>
    <x v="0"/>
    <x v="0"/>
    <s v="XL"/>
    <s v="White"/>
    <n v="1"/>
    <n v="15000"/>
    <n v="5"/>
    <x v="28"/>
    <n v="9000"/>
    <n v="5250"/>
    <x v="0"/>
    <s v="Ella"/>
  </r>
  <r>
    <s v="ORD1034"/>
    <x v="30"/>
    <x v="11"/>
    <x v="1"/>
    <n v="25"/>
    <x v="0"/>
    <x v="4"/>
    <x v="9"/>
    <s v="S"/>
    <s v="Black"/>
    <n v="3"/>
    <n v="25000"/>
    <n v="15"/>
    <x v="29"/>
    <n v="51000"/>
    <n v="12750"/>
    <x v="1"/>
    <s v="Tobi"/>
  </r>
  <r>
    <s v="ORD1035"/>
    <x v="31"/>
    <x v="8"/>
    <x v="1"/>
    <n v="39"/>
    <x v="4"/>
    <x v="3"/>
    <x v="3"/>
    <s v="XL"/>
    <s v="Blue"/>
    <n v="3"/>
    <n v="16000"/>
    <n v="0"/>
    <x v="30"/>
    <n v="30000"/>
    <n v="18000"/>
    <x v="1"/>
    <s v="Chi"/>
  </r>
  <r>
    <s v="ORD1036"/>
    <x v="32"/>
    <x v="6"/>
    <x v="1"/>
    <n v="26"/>
    <x v="4"/>
    <x v="3"/>
    <x v="3"/>
    <s v="L"/>
    <s v="Pink"/>
    <n v="1"/>
    <n v="16000"/>
    <n v="5"/>
    <x v="31"/>
    <n v="10000"/>
    <n v="5200"/>
    <x v="1"/>
    <s v="Maya"/>
  </r>
  <r>
    <s v="ORD1037"/>
    <x v="33"/>
    <x v="1"/>
    <x v="0"/>
    <n v="41"/>
    <x v="1"/>
    <x v="2"/>
    <x v="2"/>
    <s v="XL"/>
    <s v="Blue"/>
    <n v="1"/>
    <n v="20000"/>
    <n v="0"/>
    <x v="32"/>
    <n v="12000"/>
    <n v="8000"/>
    <x v="1"/>
    <s v="Maya"/>
  </r>
  <r>
    <s v="ORD1038"/>
    <x v="30"/>
    <x v="3"/>
    <x v="0"/>
    <n v="36"/>
    <x v="4"/>
    <x v="4"/>
    <x v="9"/>
    <s v="XL"/>
    <s v="Beige"/>
    <n v="2"/>
    <n v="25000"/>
    <n v="0"/>
    <x v="33"/>
    <n v="34000"/>
    <n v="16000"/>
    <x v="2"/>
    <s v="Ella"/>
  </r>
  <r>
    <s v="ORD1039"/>
    <x v="34"/>
    <x v="3"/>
    <x v="1"/>
    <n v="21"/>
    <x v="3"/>
    <x v="4"/>
    <x v="9"/>
    <s v="XL"/>
    <s v="Blue"/>
    <n v="1"/>
    <n v="25000"/>
    <n v="15"/>
    <x v="34"/>
    <n v="17000"/>
    <n v="4250"/>
    <x v="0"/>
    <s v="Maya"/>
  </r>
  <r>
    <s v="ORD1040"/>
    <x v="35"/>
    <x v="5"/>
    <x v="1"/>
    <n v="27"/>
    <x v="2"/>
    <x v="2"/>
    <x v="5"/>
    <s v="L"/>
    <s v="Beige"/>
    <n v="1"/>
    <n v="15000"/>
    <n v="0"/>
    <x v="35"/>
    <n v="9000"/>
    <n v="6000"/>
    <x v="1"/>
    <s v="Chi"/>
  </r>
  <r>
    <s v="ORD1041"/>
    <x v="36"/>
    <x v="5"/>
    <x v="0"/>
    <n v="18"/>
    <x v="3"/>
    <x v="4"/>
    <x v="6"/>
    <s v="M"/>
    <s v="Red"/>
    <n v="1"/>
    <n v="22000"/>
    <n v="10"/>
    <x v="36"/>
    <n v="14000"/>
    <n v="5800"/>
    <x v="1"/>
    <s v="Maya"/>
  </r>
  <r>
    <s v="ORD1042"/>
    <x v="37"/>
    <x v="12"/>
    <x v="0"/>
    <n v="36"/>
    <x v="0"/>
    <x v="3"/>
    <x v="4"/>
    <s v="XL"/>
    <s v="Blue"/>
    <n v="2"/>
    <n v="14000"/>
    <n v="0"/>
    <x v="37"/>
    <n v="17000"/>
    <n v="11000"/>
    <x v="2"/>
    <s v="Chi"/>
  </r>
  <r>
    <s v="ORD1043"/>
    <x v="38"/>
    <x v="9"/>
    <x v="1"/>
    <n v="36"/>
    <x v="0"/>
    <x v="3"/>
    <x v="3"/>
    <s v="L"/>
    <s v="Pink"/>
    <n v="3"/>
    <n v="16000"/>
    <n v="15"/>
    <x v="38"/>
    <n v="30000"/>
    <n v="10800"/>
    <x v="1"/>
    <s v="Chi"/>
  </r>
  <r>
    <s v="ORD1044"/>
    <x v="39"/>
    <x v="11"/>
    <x v="0"/>
    <n v="48"/>
    <x v="3"/>
    <x v="0"/>
    <x v="7"/>
    <s v="XL"/>
    <s v="Blue"/>
    <n v="2"/>
    <n v="18000"/>
    <n v="0"/>
    <x v="3"/>
    <n v="22000"/>
    <n v="14000"/>
    <x v="1"/>
    <s v="Ella"/>
  </r>
  <r>
    <s v="ORD1045"/>
    <x v="40"/>
    <x v="0"/>
    <x v="1"/>
    <n v="44"/>
    <x v="3"/>
    <x v="4"/>
    <x v="9"/>
    <s v="M"/>
    <s v="Blue"/>
    <n v="1"/>
    <n v="25000"/>
    <n v="5"/>
    <x v="39"/>
    <n v="17000"/>
    <n v="6750"/>
    <x v="2"/>
    <s v="Tobi"/>
  </r>
  <r>
    <s v="ORD1046"/>
    <x v="41"/>
    <x v="9"/>
    <x v="0"/>
    <n v="38"/>
    <x v="1"/>
    <x v="4"/>
    <x v="9"/>
    <s v="L"/>
    <s v="Black"/>
    <n v="4"/>
    <n v="25000"/>
    <n v="15"/>
    <x v="40"/>
    <n v="68000"/>
    <n v="17000"/>
    <x v="0"/>
    <s v="Chi"/>
  </r>
  <r>
    <s v="ORD1047"/>
    <x v="42"/>
    <x v="9"/>
    <x v="1"/>
    <n v="20"/>
    <x v="1"/>
    <x v="0"/>
    <x v="7"/>
    <s v="L"/>
    <s v="Pink"/>
    <n v="4"/>
    <n v="18000"/>
    <n v="15"/>
    <x v="18"/>
    <n v="44000"/>
    <n v="17200"/>
    <x v="0"/>
    <s v="Ella"/>
  </r>
  <r>
    <s v="ORD1048"/>
    <x v="43"/>
    <x v="3"/>
    <x v="0"/>
    <n v="44"/>
    <x v="1"/>
    <x v="1"/>
    <x v="1"/>
    <s v="S"/>
    <s v="White"/>
    <n v="4"/>
    <n v="8000"/>
    <n v="5"/>
    <x v="22"/>
    <n v="18000"/>
    <n v="12400"/>
    <x v="0"/>
    <s v="Maya"/>
  </r>
  <r>
    <s v="ORD1049"/>
    <x v="44"/>
    <x v="3"/>
    <x v="0"/>
    <n v="46"/>
    <x v="4"/>
    <x v="4"/>
    <x v="9"/>
    <s v="M"/>
    <s v="White"/>
    <n v="2"/>
    <n v="25000"/>
    <n v="15"/>
    <x v="41"/>
    <n v="34000"/>
    <n v="8500"/>
    <x v="0"/>
    <s v="Tobi"/>
  </r>
  <r>
    <s v="ORD1050"/>
    <x v="45"/>
    <x v="10"/>
    <x v="0"/>
    <n v="52"/>
    <x v="4"/>
    <x v="1"/>
    <x v="1"/>
    <s v="M"/>
    <s v="Red"/>
    <n v="3"/>
    <n v="8000"/>
    <n v="5"/>
    <x v="7"/>
    <n v="13500"/>
    <n v="9300"/>
    <x v="2"/>
    <s v="Tobi"/>
  </r>
  <r>
    <s v="ORD1051"/>
    <x v="46"/>
    <x v="6"/>
    <x v="0"/>
    <n v="45"/>
    <x v="1"/>
    <x v="0"/>
    <x v="7"/>
    <s v="XL"/>
    <s v="Black"/>
    <n v="2"/>
    <n v="18000"/>
    <n v="5"/>
    <x v="42"/>
    <n v="22000"/>
    <n v="12200"/>
    <x v="1"/>
    <s v="Tobi"/>
  </r>
  <r>
    <s v="ORD1052"/>
    <x v="47"/>
    <x v="3"/>
    <x v="1"/>
    <n v="28"/>
    <x v="2"/>
    <x v="3"/>
    <x v="4"/>
    <s v="M"/>
    <s v="Black"/>
    <n v="1"/>
    <n v="14000"/>
    <n v="10"/>
    <x v="43"/>
    <n v="8500"/>
    <n v="4100"/>
    <x v="0"/>
    <s v="Maya"/>
  </r>
  <r>
    <s v="ORD1053"/>
    <x v="48"/>
    <x v="11"/>
    <x v="0"/>
    <n v="44"/>
    <x v="2"/>
    <x v="2"/>
    <x v="2"/>
    <s v="S"/>
    <s v="Beige"/>
    <n v="2"/>
    <n v="20000"/>
    <n v="0"/>
    <x v="44"/>
    <n v="24000"/>
    <n v="16000"/>
    <x v="2"/>
    <s v="Tobi"/>
  </r>
  <r>
    <s v="ORD1054"/>
    <x v="49"/>
    <x v="0"/>
    <x v="0"/>
    <n v="50"/>
    <x v="4"/>
    <x v="2"/>
    <x v="5"/>
    <s v="S"/>
    <s v="Beige"/>
    <n v="1"/>
    <n v="15000"/>
    <n v="15"/>
    <x v="45"/>
    <n v="9000"/>
    <n v="3750"/>
    <x v="0"/>
    <s v="Ella"/>
  </r>
  <r>
    <s v="ORD1055"/>
    <x v="50"/>
    <x v="6"/>
    <x v="1"/>
    <n v="52"/>
    <x v="1"/>
    <x v="1"/>
    <x v="8"/>
    <s v="XL"/>
    <s v="Pink"/>
    <n v="1"/>
    <n v="10000"/>
    <n v="15"/>
    <x v="46"/>
    <n v="6000"/>
    <n v="2500"/>
    <x v="1"/>
    <s v="Tobi"/>
  </r>
  <r>
    <s v="ORD1056"/>
    <x v="51"/>
    <x v="5"/>
    <x v="0"/>
    <n v="46"/>
    <x v="3"/>
    <x v="2"/>
    <x v="5"/>
    <s v="S"/>
    <s v="White"/>
    <n v="1"/>
    <n v="15000"/>
    <n v="0"/>
    <x v="35"/>
    <n v="9000"/>
    <n v="6000"/>
    <x v="1"/>
    <s v="Chi"/>
  </r>
  <r>
    <s v="ORD1057"/>
    <x v="52"/>
    <x v="8"/>
    <x v="0"/>
    <n v="35"/>
    <x v="1"/>
    <x v="2"/>
    <x v="2"/>
    <s v="L"/>
    <s v="Black"/>
    <n v="2"/>
    <n v="20000"/>
    <n v="10"/>
    <x v="3"/>
    <n v="24000"/>
    <n v="12000"/>
    <x v="0"/>
    <s v="Ella"/>
  </r>
  <r>
    <s v="ORD1058"/>
    <x v="53"/>
    <x v="3"/>
    <x v="1"/>
    <n v="51"/>
    <x v="2"/>
    <x v="4"/>
    <x v="6"/>
    <s v="M"/>
    <s v="White"/>
    <n v="1"/>
    <n v="22000"/>
    <n v="0"/>
    <x v="47"/>
    <n v="14000"/>
    <n v="8000"/>
    <x v="2"/>
    <s v="Ella"/>
  </r>
  <r>
    <s v="ORD1059"/>
    <x v="54"/>
    <x v="9"/>
    <x v="1"/>
    <n v="34"/>
    <x v="3"/>
    <x v="1"/>
    <x v="1"/>
    <s v="M"/>
    <s v="Red"/>
    <n v="2"/>
    <n v="8000"/>
    <n v="0"/>
    <x v="48"/>
    <n v="9000"/>
    <n v="7000"/>
    <x v="2"/>
    <s v="Chi"/>
  </r>
  <r>
    <s v="ORD1060"/>
    <x v="39"/>
    <x v="3"/>
    <x v="1"/>
    <n v="29"/>
    <x v="0"/>
    <x v="2"/>
    <x v="5"/>
    <s v="XL"/>
    <s v="Beige"/>
    <n v="1"/>
    <n v="15000"/>
    <n v="15"/>
    <x v="45"/>
    <n v="9000"/>
    <n v="3750"/>
    <x v="0"/>
    <s v="Ella"/>
  </r>
  <r>
    <s v="ORD1061"/>
    <x v="55"/>
    <x v="11"/>
    <x v="1"/>
    <n v="43"/>
    <x v="3"/>
    <x v="1"/>
    <x v="8"/>
    <s v="M"/>
    <s v="Pink"/>
    <n v="3"/>
    <n v="10000"/>
    <n v="10"/>
    <x v="49"/>
    <n v="18000"/>
    <n v="9000"/>
    <x v="0"/>
    <s v="Chi"/>
  </r>
  <r>
    <s v="ORD1062"/>
    <x v="56"/>
    <x v="0"/>
    <x v="1"/>
    <n v="31"/>
    <x v="2"/>
    <x v="4"/>
    <x v="9"/>
    <s v="XL"/>
    <s v="Black"/>
    <n v="3"/>
    <n v="25000"/>
    <n v="10"/>
    <x v="26"/>
    <n v="51000"/>
    <n v="16500"/>
    <x v="2"/>
    <s v="Maya"/>
  </r>
  <r>
    <s v="ORD1063"/>
    <x v="57"/>
    <x v="6"/>
    <x v="1"/>
    <n v="18"/>
    <x v="1"/>
    <x v="4"/>
    <x v="9"/>
    <s v="M"/>
    <s v="Beige"/>
    <n v="2"/>
    <n v="25000"/>
    <n v="0"/>
    <x v="33"/>
    <n v="34000"/>
    <n v="16000"/>
    <x v="0"/>
    <s v="Ella"/>
  </r>
  <r>
    <s v="ORD1064"/>
    <x v="58"/>
    <x v="10"/>
    <x v="0"/>
    <n v="52"/>
    <x v="1"/>
    <x v="3"/>
    <x v="3"/>
    <s v="L"/>
    <s v="Blue"/>
    <n v="2"/>
    <n v="16000"/>
    <n v="0"/>
    <x v="50"/>
    <n v="20000"/>
    <n v="12000"/>
    <x v="2"/>
    <s v="Chi"/>
  </r>
  <r>
    <s v="ORD1065"/>
    <x v="59"/>
    <x v="2"/>
    <x v="0"/>
    <n v="41"/>
    <x v="1"/>
    <x v="4"/>
    <x v="9"/>
    <s v="S"/>
    <s v="Red"/>
    <n v="3"/>
    <n v="25000"/>
    <n v="0"/>
    <x v="51"/>
    <n v="51000"/>
    <n v="24000"/>
    <x v="2"/>
    <s v="Tobi"/>
  </r>
  <r>
    <s v="ORD1066"/>
    <x v="60"/>
    <x v="3"/>
    <x v="1"/>
    <n v="27"/>
    <x v="0"/>
    <x v="0"/>
    <x v="0"/>
    <s v="S"/>
    <s v="Pink"/>
    <n v="3"/>
    <n v="15000"/>
    <n v="15"/>
    <x v="52"/>
    <n v="27000"/>
    <n v="11250"/>
    <x v="2"/>
    <s v="Ella"/>
  </r>
  <r>
    <s v="ORD1067"/>
    <x v="61"/>
    <x v="6"/>
    <x v="0"/>
    <n v="20"/>
    <x v="3"/>
    <x v="0"/>
    <x v="0"/>
    <s v="XL"/>
    <s v="Black"/>
    <n v="1"/>
    <n v="15000"/>
    <n v="0"/>
    <x v="35"/>
    <n v="9000"/>
    <n v="6000"/>
    <x v="1"/>
    <s v="Chi"/>
  </r>
  <r>
    <s v="ORD1068"/>
    <x v="62"/>
    <x v="1"/>
    <x v="1"/>
    <n v="49"/>
    <x v="4"/>
    <x v="2"/>
    <x v="5"/>
    <s v="L"/>
    <s v="Black"/>
    <n v="2"/>
    <n v="15000"/>
    <n v="10"/>
    <x v="49"/>
    <n v="18000"/>
    <n v="9000"/>
    <x v="1"/>
    <s v="Maya"/>
  </r>
  <r>
    <s v="ORD1069"/>
    <x v="63"/>
    <x v="7"/>
    <x v="0"/>
    <n v="47"/>
    <x v="0"/>
    <x v="0"/>
    <x v="0"/>
    <s v="M"/>
    <s v="Pink"/>
    <n v="3"/>
    <n v="15000"/>
    <n v="0"/>
    <x v="53"/>
    <n v="27000"/>
    <n v="18000"/>
    <x v="2"/>
    <s v="Ella"/>
  </r>
  <r>
    <s v="ORD1070"/>
    <x v="64"/>
    <x v="4"/>
    <x v="1"/>
    <n v="26"/>
    <x v="2"/>
    <x v="4"/>
    <x v="9"/>
    <s v="XL"/>
    <s v="Red"/>
    <n v="4"/>
    <n v="25000"/>
    <n v="15"/>
    <x v="40"/>
    <n v="68000"/>
    <n v="17000"/>
    <x v="2"/>
    <s v="Maya"/>
  </r>
  <r>
    <s v="ORD1071"/>
    <x v="65"/>
    <x v="2"/>
    <x v="1"/>
    <n v="29"/>
    <x v="4"/>
    <x v="4"/>
    <x v="6"/>
    <s v="XL"/>
    <s v="Pink"/>
    <n v="1"/>
    <n v="22000"/>
    <n v="0"/>
    <x v="47"/>
    <n v="14000"/>
    <n v="8000"/>
    <x v="0"/>
    <s v="Maya"/>
  </r>
  <r>
    <s v="ORD1072"/>
    <x v="66"/>
    <x v="11"/>
    <x v="1"/>
    <n v="28"/>
    <x v="4"/>
    <x v="3"/>
    <x v="4"/>
    <s v="S"/>
    <s v="White"/>
    <n v="2"/>
    <n v="14000"/>
    <n v="15"/>
    <x v="5"/>
    <n v="17000"/>
    <n v="6800"/>
    <x v="1"/>
    <s v="Chi"/>
  </r>
  <r>
    <s v="ORD1073"/>
    <x v="67"/>
    <x v="9"/>
    <x v="0"/>
    <n v="25"/>
    <x v="2"/>
    <x v="4"/>
    <x v="6"/>
    <s v="XL"/>
    <s v="Blue"/>
    <n v="3"/>
    <n v="22000"/>
    <n v="15"/>
    <x v="16"/>
    <n v="42000"/>
    <n v="14100"/>
    <x v="1"/>
    <s v="Ella"/>
  </r>
  <r>
    <s v="ORD1074"/>
    <x v="39"/>
    <x v="8"/>
    <x v="0"/>
    <n v="28"/>
    <x v="4"/>
    <x v="4"/>
    <x v="9"/>
    <s v="L"/>
    <s v="Pink"/>
    <n v="3"/>
    <n v="25000"/>
    <n v="0"/>
    <x v="51"/>
    <n v="51000"/>
    <n v="24000"/>
    <x v="0"/>
    <s v="Tobi"/>
  </r>
  <r>
    <s v="ORD1075"/>
    <x v="41"/>
    <x v="3"/>
    <x v="0"/>
    <n v="48"/>
    <x v="3"/>
    <x v="3"/>
    <x v="3"/>
    <s v="M"/>
    <s v="Beige"/>
    <n v="1"/>
    <n v="16000"/>
    <n v="0"/>
    <x v="48"/>
    <n v="10000"/>
    <n v="6000"/>
    <x v="2"/>
    <s v="Ella"/>
  </r>
  <r>
    <s v="ORD1076"/>
    <x v="68"/>
    <x v="2"/>
    <x v="1"/>
    <n v="32"/>
    <x v="4"/>
    <x v="0"/>
    <x v="7"/>
    <s v="M"/>
    <s v="Pink"/>
    <n v="3"/>
    <n v="18000"/>
    <n v="0"/>
    <x v="6"/>
    <n v="33000"/>
    <n v="21000"/>
    <x v="0"/>
    <s v="Chi"/>
  </r>
  <r>
    <s v="ORD1077"/>
    <x v="69"/>
    <x v="12"/>
    <x v="1"/>
    <n v="45"/>
    <x v="2"/>
    <x v="2"/>
    <x v="2"/>
    <s v="XL"/>
    <s v="White"/>
    <n v="3"/>
    <n v="20000"/>
    <n v="5"/>
    <x v="1"/>
    <n v="36000"/>
    <n v="21000"/>
    <x v="1"/>
    <s v="Maya"/>
  </r>
  <r>
    <s v="ORD1078"/>
    <x v="70"/>
    <x v="5"/>
    <x v="0"/>
    <n v="47"/>
    <x v="1"/>
    <x v="1"/>
    <x v="1"/>
    <s v="S"/>
    <s v="Pink"/>
    <n v="4"/>
    <n v="8000"/>
    <n v="5"/>
    <x v="22"/>
    <n v="18000"/>
    <n v="12400"/>
    <x v="0"/>
    <s v="Ella"/>
  </r>
  <r>
    <s v="ORD1079"/>
    <x v="71"/>
    <x v="1"/>
    <x v="0"/>
    <n v="50"/>
    <x v="1"/>
    <x v="3"/>
    <x v="4"/>
    <s v="M"/>
    <s v="Red"/>
    <n v="3"/>
    <n v="14000"/>
    <n v="0"/>
    <x v="54"/>
    <n v="25500"/>
    <n v="16500"/>
    <x v="0"/>
    <s v="Chi"/>
  </r>
  <r>
    <s v="ORD1080"/>
    <x v="18"/>
    <x v="3"/>
    <x v="0"/>
    <n v="34"/>
    <x v="4"/>
    <x v="2"/>
    <x v="5"/>
    <s v="S"/>
    <s v="Beige"/>
    <n v="2"/>
    <n v="15000"/>
    <n v="0"/>
    <x v="12"/>
    <n v="18000"/>
    <n v="12000"/>
    <x v="0"/>
    <s v="Chi"/>
  </r>
  <r>
    <s v="ORD1081"/>
    <x v="72"/>
    <x v="8"/>
    <x v="0"/>
    <n v="44"/>
    <x v="3"/>
    <x v="0"/>
    <x v="7"/>
    <s v="L"/>
    <s v="Red"/>
    <n v="2"/>
    <n v="18000"/>
    <n v="15"/>
    <x v="55"/>
    <n v="22000"/>
    <n v="8600"/>
    <x v="1"/>
    <s v="Tobi"/>
  </r>
  <r>
    <s v="ORD1082"/>
    <x v="73"/>
    <x v="5"/>
    <x v="0"/>
    <n v="48"/>
    <x v="2"/>
    <x v="4"/>
    <x v="6"/>
    <s v="XL"/>
    <s v="Beige"/>
    <n v="4"/>
    <n v="22000"/>
    <n v="5"/>
    <x v="56"/>
    <n v="56000"/>
    <n v="27600"/>
    <x v="0"/>
    <s v="Tobi"/>
  </r>
  <r>
    <s v="ORD1083"/>
    <x v="74"/>
    <x v="9"/>
    <x v="0"/>
    <n v="54"/>
    <x v="2"/>
    <x v="1"/>
    <x v="1"/>
    <s v="XL"/>
    <s v="Beige"/>
    <n v="2"/>
    <n v="8000"/>
    <n v="5"/>
    <x v="31"/>
    <n v="9000"/>
    <n v="6200"/>
    <x v="2"/>
    <s v="Maya"/>
  </r>
  <r>
    <s v="ORD1084"/>
    <x v="75"/>
    <x v="10"/>
    <x v="0"/>
    <n v="38"/>
    <x v="4"/>
    <x v="4"/>
    <x v="6"/>
    <s v="M"/>
    <s v="Red"/>
    <n v="1"/>
    <n v="22000"/>
    <n v="5"/>
    <x v="57"/>
    <n v="14000"/>
    <n v="6900"/>
    <x v="2"/>
    <s v="Ella"/>
  </r>
  <r>
    <s v="ORD1085"/>
    <x v="76"/>
    <x v="1"/>
    <x v="1"/>
    <n v="34"/>
    <x v="1"/>
    <x v="1"/>
    <x v="1"/>
    <s v="M"/>
    <s v="Beige"/>
    <n v="1"/>
    <n v="8000"/>
    <n v="10"/>
    <x v="58"/>
    <n v="4500"/>
    <n v="2700"/>
    <x v="2"/>
    <s v="Maya"/>
  </r>
  <r>
    <s v="ORD1086"/>
    <x v="77"/>
    <x v="10"/>
    <x v="1"/>
    <n v="18"/>
    <x v="4"/>
    <x v="1"/>
    <x v="1"/>
    <s v="M"/>
    <s v="Blue"/>
    <n v="3"/>
    <n v="8000"/>
    <n v="15"/>
    <x v="59"/>
    <n v="13500"/>
    <n v="6900"/>
    <x v="2"/>
    <s v="Tobi"/>
  </r>
  <r>
    <s v="ORD1087"/>
    <x v="30"/>
    <x v="1"/>
    <x v="0"/>
    <n v="42"/>
    <x v="0"/>
    <x v="0"/>
    <x v="7"/>
    <s v="S"/>
    <s v="Red"/>
    <n v="3"/>
    <n v="18000"/>
    <n v="10"/>
    <x v="60"/>
    <n v="33000"/>
    <n v="15600"/>
    <x v="0"/>
    <s v="Tobi"/>
  </r>
  <r>
    <s v="ORD1088"/>
    <x v="78"/>
    <x v="9"/>
    <x v="1"/>
    <n v="18"/>
    <x v="1"/>
    <x v="0"/>
    <x v="7"/>
    <s v="M"/>
    <s v="Beige"/>
    <n v="1"/>
    <n v="18000"/>
    <n v="0"/>
    <x v="19"/>
    <n v="11000"/>
    <n v="7000"/>
    <x v="1"/>
    <s v="Chi"/>
  </r>
  <r>
    <s v="ORD1089"/>
    <x v="71"/>
    <x v="12"/>
    <x v="1"/>
    <n v="52"/>
    <x v="3"/>
    <x v="1"/>
    <x v="1"/>
    <s v="S"/>
    <s v="Black"/>
    <n v="1"/>
    <n v="8000"/>
    <n v="5"/>
    <x v="61"/>
    <n v="4500"/>
    <n v="3100"/>
    <x v="2"/>
    <s v="Maya"/>
  </r>
  <r>
    <s v="ORD1090"/>
    <x v="79"/>
    <x v="9"/>
    <x v="1"/>
    <n v="21"/>
    <x v="1"/>
    <x v="3"/>
    <x v="4"/>
    <s v="L"/>
    <s v="Black"/>
    <n v="2"/>
    <n v="14000"/>
    <n v="15"/>
    <x v="5"/>
    <n v="17000"/>
    <n v="6800"/>
    <x v="0"/>
    <s v="Maya"/>
  </r>
  <r>
    <s v="ORD1091"/>
    <x v="80"/>
    <x v="8"/>
    <x v="1"/>
    <n v="44"/>
    <x v="3"/>
    <x v="1"/>
    <x v="8"/>
    <s v="S"/>
    <s v="White"/>
    <n v="4"/>
    <n v="10000"/>
    <n v="5"/>
    <x v="62"/>
    <n v="24000"/>
    <n v="14000"/>
    <x v="1"/>
    <s v="Ella"/>
  </r>
  <r>
    <s v="ORD1092"/>
    <x v="81"/>
    <x v="10"/>
    <x v="0"/>
    <n v="52"/>
    <x v="3"/>
    <x v="3"/>
    <x v="3"/>
    <s v="XL"/>
    <s v="Blue"/>
    <n v="4"/>
    <n v="16000"/>
    <n v="15"/>
    <x v="63"/>
    <n v="40000"/>
    <n v="14400"/>
    <x v="2"/>
    <s v="Maya"/>
  </r>
  <r>
    <s v="ORD1093"/>
    <x v="82"/>
    <x v="11"/>
    <x v="1"/>
    <n v="27"/>
    <x v="2"/>
    <x v="2"/>
    <x v="5"/>
    <s v="XL"/>
    <s v="Blue"/>
    <n v="2"/>
    <n v="15000"/>
    <n v="5"/>
    <x v="21"/>
    <n v="18000"/>
    <n v="10500"/>
    <x v="2"/>
    <s v="Maya"/>
  </r>
  <r>
    <s v="ORD1094"/>
    <x v="83"/>
    <x v="4"/>
    <x v="1"/>
    <n v="47"/>
    <x v="0"/>
    <x v="4"/>
    <x v="6"/>
    <s v="L"/>
    <s v="Blue"/>
    <n v="3"/>
    <n v="22000"/>
    <n v="10"/>
    <x v="24"/>
    <n v="42000"/>
    <n v="17400"/>
    <x v="1"/>
    <s v="Maya"/>
  </r>
  <r>
    <s v="ORD1095"/>
    <x v="84"/>
    <x v="3"/>
    <x v="1"/>
    <n v="33"/>
    <x v="1"/>
    <x v="0"/>
    <x v="7"/>
    <s v="XL"/>
    <s v="Blue"/>
    <n v="3"/>
    <n v="18000"/>
    <n v="15"/>
    <x v="64"/>
    <n v="33000"/>
    <n v="12900"/>
    <x v="1"/>
    <s v="Ella"/>
  </r>
  <r>
    <s v="ORD1096"/>
    <x v="30"/>
    <x v="3"/>
    <x v="1"/>
    <n v="19"/>
    <x v="3"/>
    <x v="2"/>
    <x v="2"/>
    <s v="XL"/>
    <s v="Black"/>
    <n v="1"/>
    <n v="20000"/>
    <n v="10"/>
    <x v="19"/>
    <n v="12000"/>
    <n v="6000"/>
    <x v="2"/>
    <s v="Ella"/>
  </r>
  <r>
    <s v="ORD1097"/>
    <x v="85"/>
    <x v="3"/>
    <x v="1"/>
    <n v="55"/>
    <x v="1"/>
    <x v="3"/>
    <x v="3"/>
    <s v="L"/>
    <s v="Beige"/>
    <n v="2"/>
    <n v="16000"/>
    <n v="0"/>
    <x v="50"/>
    <n v="20000"/>
    <n v="12000"/>
    <x v="0"/>
    <s v="Ella"/>
  </r>
  <r>
    <s v="ORD1098"/>
    <x v="86"/>
    <x v="9"/>
    <x v="1"/>
    <n v="53"/>
    <x v="0"/>
    <x v="4"/>
    <x v="6"/>
    <s v="XL"/>
    <s v="Blue"/>
    <n v="1"/>
    <n v="22000"/>
    <n v="10"/>
    <x v="36"/>
    <n v="14000"/>
    <n v="5800"/>
    <x v="2"/>
    <s v="Ella"/>
  </r>
  <r>
    <s v="ORD1099"/>
    <x v="87"/>
    <x v="1"/>
    <x v="0"/>
    <n v="51"/>
    <x v="1"/>
    <x v="2"/>
    <x v="5"/>
    <s v="XL"/>
    <s v="Blue"/>
    <n v="1"/>
    <n v="15000"/>
    <n v="5"/>
    <x v="28"/>
    <n v="9000"/>
    <n v="5250"/>
    <x v="1"/>
    <s v="Maya"/>
  </r>
  <r>
    <s v="ORD1100"/>
    <x v="88"/>
    <x v="9"/>
    <x v="0"/>
    <n v="35"/>
    <x v="1"/>
    <x v="3"/>
    <x v="3"/>
    <s v="S"/>
    <s v="Pink"/>
    <n v="2"/>
    <n v="16000"/>
    <n v="15"/>
    <x v="65"/>
    <n v="20000"/>
    <n v="7200"/>
    <x v="0"/>
    <s v="Chi"/>
  </r>
  <r>
    <s v="ORD1101"/>
    <x v="89"/>
    <x v="8"/>
    <x v="0"/>
    <n v="45"/>
    <x v="1"/>
    <x v="2"/>
    <x v="2"/>
    <s v="XL"/>
    <s v="White"/>
    <n v="4"/>
    <n v="20000"/>
    <n v="10"/>
    <x v="13"/>
    <n v="48000"/>
    <n v="24000"/>
    <x v="2"/>
    <s v="Ella"/>
  </r>
  <r>
    <s v="ORD1102"/>
    <x v="90"/>
    <x v="6"/>
    <x v="1"/>
    <n v="25"/>
    <x v="4"/>
    <x v="4"/>
    <x v="9"/>
    <s v="M"/>
    <s v="Red"/>
    <n v="4"/>
    <n v="25000"/>
    <n v="0"/>
    <x v="66"/>
    <n v="68000"/>
    <n v="32000"/>
    <x v="1"/>
    <s v="Ella"/>
  </r>
  <r>
    <s v="ORD1103"/>
    <x v="91"/>
    <x v="6"/>
    <x v="0"/>
    <n v="39"/>
    <x v="2"/>
    <x v="4"/>
    <x v="6"/>
    <s v="L"/>
    <s v="Beige"/>
    <n v="4"/>
    <n v="22000"/>
    <n v="0"/>
    <x v="10"/>
    <n v="56000"/>
    <n v="32000"/>
    <x v="1"/>
    <s v="Maya"/>
  </r>
  <r>
    <s v="ORD1104"/>
    <x v="92"/>
    <x v="4"/>
    <x v="0"/>
    <n v="51"/>
    <x v="2"/>
    <x v="4"/>
    <x v="6"/>
    <s v="L"/>
    <s v="Beige"/>
    <n v="1"/>
    <n v="22000"/>
    <n v="5"/>
    <x v="57"/>
    <n v="14000"/>
    <n v="6900"/>
    <x v="1"/>
    <s v="Maya"/>
  </r>
  <r>
    <s v="ORD1105"/>
    <x v="93"/>
    <x v="4"/>
    <x v="0"/>
    <n v="21"/>
    <x v="0"/>
    <x v="1"/>
    <x v="8"/>
    <s v="M"/>
    <s v="White"/>
    <n v="2"/>
    <n v="10000"/>
    <n v="10"/>
    <x v="19"/>
    <n v="12000"/>
    <n v="6000"/>
    <x v="0"/>
    <s v="Chi"/>
  </r>
  <r>
    <s v="ORD1106"/>
    <x v="37"/>
    <x v="8"/>
    <x v="0"/>
    <n v="20"/>
    <x v="0"/>
    <x v="3"/>
    <x v="4"/>
    <s v="S"/>
    <s v="Red"/>
    <n v="1"/>
    <n v="14000"/>
    <n v="5"/>
    <x v="27"/>
    <n v="8500"/>
    <n v="4800"/>
    <x v="2"/>
    <s v="Tobi"/>
  </r>
  <r>
    <s v="ORD1107"/>
    <x v="94"/>
    <x v="6"/>
    <x v="0"/>
    <n v="48"/>
    <x v="3"/>
    <x v="2"/>
    <x v="2"/>
    <s v="XL"/>
    <s v="Black"/>
    <n v="4"/>
    <n v="20000"/>
    <n v="5"/>
    <x v="67"/>
    <n v="48000"/>
    <n v="28000"/>
    <x v="2"/>
    <s v="Chi"/>
  </r>
  <r>
    <s v="ORD1108"/>
    <x v="95"/>
    <x v="7"/>
    <x v="1"/>
    <n v="25"/>
    <x v="3"/>
    <x v="3"/>
    <x v="4"/>
    <s v="L"/>
    <s v="Red"/>
    <n v="1"/>
    <n v="14000"/>
    <n v="15"/>
    <x v="68"/>
    <n v="8500"/>
    <n v="3400"/>
    <x v="2"/>
    <s v="Tobi"/>
  </r>
  <r>
    <s v="ORD1109"/>
    <x v="96"/>
    <x v="12"/>
    <x v="0"/>
    <n v="25"/>
    <x v="3"/>
    <x v="1"/>
    <x v="1"/>
    <s v="XL"/>
    <s v="Red"/>
    <n v="4"/>
    <n v="8000"/>
    <n v="10"/>
    <x v="69"/>
    <n v="18000"/>
    <n v="10800"/>
    <x v="2"/>
    <s v="Ella"/>
  </r>
  <r>
    <s v="ORD1110"/>
    <x v="73"/>
    <x v="1"/>
    <x v="0"/>
    <n v="26"/>
    <x v="3"/>
    <x v="3"/>
    <x v="4"/>
    <s v="M"/>
    <s v="Pink"/>
    <n v="3"/>
    <n v="14000"/>
    <n v="15"/>
    <x v="70"/>
    <n v="25500"/>
    <n v="10200"/>
    <x v="2"/>
    <s v="Chi"/>
  </r>
  <r>
    <s v="ORD1111"/>
    <x v="97"/>
    <x v="7"/>
    <x v="1"/>
    <n v="37"/>
    <x v="2"/>
    <x v="3"/>
    <x v="4"/>
    <s v="XL"/>
    <s v="Black"/>
    <n v="1"/>
    <n v="14000"/>
    <n v="0"/>
    <x v="71"/>
    <n v="8500"/>
    <n v="5500"/>
    <x v="2"/>
    <s v="Ella"/>
  </r>
  <r>
    <s v="ORD1112"/>
    <x v="28"/>
    <x v="3"/>
    <x v="0"/>
    <n v="37"/>
    <x v="3"/>
    <x v="4"/>
    <x v="9"/>
    <s v="XL"/>
    <s v="Red"/>
    <n v="3"/>
    <n v="25000"/>
    <n v="0"/>
    <x v="51"/>
    <n v="51000"/>
    <n v="24000"/>
    <x v="2"/>
    <s v="Chi"/>
  </r>
  <r>
    <s v="ORD1113"/>
    <x v="98"/>
    <x v="11"/>
    <x v="0"/>
    <n v="53"/>
    <x v="0"/>
    <x v="3"/>
    <x v="4"/>
    <s v="S"/>
    <s v="Red"/>
    <n v="4"/>
    <n v="14000"/>
    <n v="10"/>
    <x v="72"/>
    <n v="34000"/>
    <n v="16400"/>
    <x v="2"/>
    <s v="Chi"/>
  </r>
  <r>
    <s v="ORD1114"/>
    <x v="44"/>
    <x v="7"/>
    <x v="1"/>
    <n v="36"/>
    <x v="1"/>
    <x v="1"/>
    <x v="1"/>
    <s v="M"/>
    <s v="Pink"/>
    <n v="4"/>
    <n v="8000"/>
    <n v="15"/>
    <x v="65"/>
    <n v="18000"/>
    <n v="9200"/>
    <x v="0"/>
    <s v="Ella"/>
  </r>
  <r>
    <s v="ORD1115"/>
    <x v="99"/>
    <x v="8"/>
    <x v="1"/>
    <n v="24"/>
    <x v="2"/>
    <x v="2"/>
    <x v="2"/>
    <s v="XL"/>
    <s v="White"/>
    <n v="1"/>
    <n v="20000"/>
    <n v="15"/>
    <x v="9"/>
    <n v="12000"/>
    <n v="5000"/>
    <x v="2"/>
    <s v="Chi"/>
  </r>
  <r>
    <s v="ORD1116"/>
    <x v="50"/>
    <x v="2"/>
    <x v="0"/>
    <n v="54"/>
    <x v="0"/>
    <x v="2"/>
    <x v="5"/>
    <s v="S"/>
    <s v="Pink"/>
    <n v="4"/>
    <n v="15000"/>
    <n v="10"/>
    <x v="6"/>
    <n v="36000"/>
    <n v="18000"/>
    <x v="1"/>
    <s v="Chi"/>
  </r>
  <r>
    <s v="ORD1117"/>
    <x v="100"/>
    <x v="12"/>
    <x v="0"/>
    <n v="41"/>
    <x v="3"/>
    <x v="2"/>
    <x v="2"/>
    <s v="S"/>
    <s v="White"/>
    <n v="4"/>
    <n v="20000"/>
    <n v="0"/>
    <x v="73"/>
    <n v="48000"/>
    <n v="32000"/>
    <x v="2"/>
    <s v="Tobi"/>
  </r>
  <r>
    <s v="ORD1118"/>
    <x v="101"/>
    <x v="6"/>
    <x v="1"/>
    <n v="45"/>
    <x v="3"/>
    <x v="4"/>
    <x v="6"/>
    <s v="M"/>
    <s v="Beige"/>
    <n v="2"/>
    <n v="22000"/>
    <n v="15"/>
    <x v="74"/>
    <n v="28000"/>
    <n v="9400"/>
    <x v="0"/>
    <s v="Ella"/>
  </r>
  <r>
    <s v="ORD1119"/>
    <x v="102"/>
    <x v="4"/>
    <x v="1"/>
    <n v="33"/>
    <x v="0"/>
    <x v="0"/>
    <x v="7"/>
    <s v="L"/>
    <s v="Red"/>
    <n v="2"/>
    <n v="18000"/>
    <n v="5"/>
    <x v="42"/>
    <n v="22000"/>
    <n v="12200"/>
    <x v="0"/>
    <s v="Chi"/>
  </r>
  <r>
    <s v="ORD1120"/>
    <x v="103"/>
    <x v="0"/>
    <x v="1"/>
    <n v="23"/>
    <x v="4"/>
    <x v="0"/>
    <x v="7"/>
    <s v="M"/>
    <s v="Beige"/>
    <n v="1"/>
    <n v="18000"/>
    <n v="5"/>
    <x v="75"/>
    <n v="11000"/>
    <n v="6100"/>
    <x v="2"/>
    <s v="Maya"/>
  </r>
  <r>
    <s v="ORD1121"/>
    <x v="104"/>
    <x v="3"/>
    <x v="1"/>
    <n v="55"/>
    <x v="3"/>
    <x v="2"/>
    <x v="2"/>
    <s v="S"/>
    <s v="White"/>
    <n v="4"/>
    <n v="20000"/>
    <n v="0"/>
    <x v="73"/>
    <n v="48000"/>
    <n v="32000"/>
    <x v="0"/>
    <s v="Chi"/>
  </r>
  <r>
    <s v="ORD1122"/>
    <x v="105"/>
    <x v="3"/>
    <x v="0"/>
    <n v="30"/>
    <x v="0"/>
    <x v="0"/>
    <x v="7"/>
    <s v="L"/>
    <s v="Black"/>
    <n v="4"/>
    <n v="18000"/>
    <n v="0"/>
    <x v="13"/>
    <n v="44000"/>
    <n v="28000"/>
    <x v="2"/>
    <s v="Chi"/>
  </r>
  <r>
    <s v="ORD1123"/>
    <x v="105"/>
    <x v="9"/>
    <x v="1"/>
    <n v="20"/>
    <x v="2"/>
    <x v="4"/>
    <x v="6"/>
    <s v="XL"/>
    <s v="Pink"/>
    <n v="2"/>
    <n v="22000"/>
    <n v="15"/>
    <x v="74"/>
    <n v="28000"/>
    <n v="9400"/>
    <x v="2"/>
    <s v="Tobi"/>
  </r>
  <r>
    <s v="ORD1124"/>
    <x v="44"/>
    <x v="12"/>
    <x v="0"/>
    <n v="47"/>
    <x v="3"/>
    <x v="1"/>
    <x v="8"/>
    <s v="M"/>
    <s v="White"/>
    <n v="1"/>
    <n v="10000"/>
    <n v="15"/>
    <x v="46"/>
    <n v="6000"/>
    <n v="2500"/>
    <x v="1"/>
    <s v="Tobi"/>
  </r>
  <r>
    <s v="ORD1125"/>
    <x v="106"/>
    <x v="7"/>
    <x v="0"/>
    <n v="33"/>
    <x v="4"/>
    <x v="0"/>
    <x v="0"/>
    <s v="S"/>
    <s v="Black"/>
    <n v="1"/>
    <n v="15000"/>
    <n v="10"/>
    <x v="0"/>
    <n v="9000"/>
    <n v="4500"/>
    <x v="2"/>
    <s v="Tobi"/>
  </r>
  <r>
    <s v="ORD1126"/>
    <x v="107"/>
    <x v="7"/>
    <x v="0"/>
    <n v="40"/>
    <x v="3"/>
    <x v="2"/>
    <x v="5"/>
    <s v="M"/>
    <s v="White"/>
    <n v="4"/>
    <n v="15000"/>
    <n v="15"/>
    <x v="8"/>
    <n v="36000"/>
    <n v="15000"/>
    <x v="1"/>
    <s v="Maya"/>
  </r>
  <r>
    <s v="ORD1127"/>
    <x v="108"/>
    <x v="9"/>
    <x v="0"/>
    <n v="20"/>
    <x v="0"/>
    <x v="4"/>
    <x v="9"/>
    <s v="S"/>
    <s v="White"/>
    <n v="1"/>
    <n v="25000"/>
    <n v="0"/>
    <x v="76"/>
    <n v="17000"/>
    <n v="8000"/>
    <x v="2"/>
    <s v="Ella"/>
  </r>
  <r>
    <s v="ORD1128"/>
    <x v="109"/>
    <x v="6"/>
    <x v="1"/>
    <n v="30"/>
    <x v="4"/>
    <x v="4"/>
    <x v="9"/>
    <s v="S"/>
    <s v="Black"/>
    <n v="4"/>
    <n v="25000"/>
    <n v="15"/>
    <x v="40"/>
    <n v="68000"/>
    <n v="17000"/>
    <x v="1"/>
    <s v="Chi"/>
  </r>
  <r>
    <s v="ORD1129"/>
    <x v="110"/>
    <x v="12"/>
    <x v="0"/>
    <n v="33"/>
    <x v="0"/>
    <x v="3"/>
    <x v="4"/>
    <s v="M"/>
    <s v="Black"/>
    <n v="4"/>
    <n v="14000"/>
    <n v="0"/>
    <x v="77"/>
    <n v="34000"/>
    <n v="22000"/>
    <x v="0"/>
    <s v="Ella"/>
  </r>
  <r>
    <s v="ORD1130"/>
    <x v="111"/>
    <x v="6"/>
    <x v="0"/>
    <n v="35"/>
    <x v="1"/>
    <x v="3"/>
    <x v="3"/>
    <s v="S"/>
    <s v="Blue"/>
    <n v="1"/>
    <n v="16000"/>
    <n v="10"/>
    <x v="78"/>
    <n v="10000"/>
    <n v="4400"/>
    <x v="1"/>
    <s v="Ella"/>
  </r>
  <r>
    <s v="ORD1131"/>
    <x v="112"/>
    <x v="1"/>
    <x v="1"/>
    <n v="44"/>
    <x v="1"/>
    <x v="1"/>
    <x v="1"/>
    <s v="M"/>
    <s v="White"/>
    <n v="1"/>
    <n v="8000"/>
    <n v="15"/>
    <x v="2"/>
    <n v="4500"/>
    <n v="2300"/>
    <x v="0"/>
    <s v="Maya"/>
  </r>
  <r>
    <s v="ORD1132"/>
    <x v="113"/>
    <x v="5"/>
    <x v="0"/>
    <n v="19"/>
    <x v="0"/>
    <x v="4"/>
    <x v="6"/>
    <s v="XL"/>
    <s v="White"/>
    <n v="4"/>
    <n v="22000"/>
    <n v="0"/>
    <x v="10"/>
    <n v="56000"/>
    <n v="32000"/>
    <x v="2"/>
    <s v="Maya"/>
  </r>
  <r>
    <s v="ORD1133"/>
    <x v="114"/>
    <x v="12"/>
    <x v="0"/>
    <n v="24"/>
    <x v="0"/>
    <x v="1"/>
    <x v="1"/>
    <s v="M"/>
    <s v="Pink"/>
    <n v="3"/>
    <n v="8000"/>
    <n v="10"/>
    <x v="79"/>
    <n v="13500"/>
    <n v="8100"/>
    <x v="0"/>
    <s v="Maya"/>
  </r>
  <r>
    <s v="ORD1134"/>
    <x v="115"/>
    <x v="4"/>
    <x v="1"/>
    <n v="18"/>
    <x v="4"/>
    <x v="4"/>
    <x v="9"/>
    <s v="XL"/>
    <s v="Pink"/>
    <n v="3"/>
    <n v="25000"/>
    <n v="10"/>
    <x v="26"/>
    <n v="51000"/>
    <n v="16500"/>
    <x v="2"/>
    <s v="Ella"/>
  </r>
  <r>
    <s v="ORD1135"/>
    <x v="78"/>
    <x v="10"/>
    <x v="0"/>
    <n v="26"/>
    <x v="2"/>
    <x v="1"/>
    <x v="8"/>
    <s v="L"/>
    <s v="Black"/>
    <n v="2"/>
    <n v="10000"/>
    <n v="5"/>
    <x v="80"/>
    <n v="12000"/>
    <n v="7000"/>
    <x v="1"/>
    <s v="Ella"/>
  </r>
  <r>
    <s v="ORD1136"/>
    <x v="116"/>
    <x v="4"/>
    <x v="1"/>
    <n v="22"/>
    <x v="3"/>
    <x v="4"/>
    <x v="6"/>
    <s v="M"/>
    <s v="Blue"/>
    <n v="1"/>
    <n v="22000"/>
    <n v="10"/>
    <x v="36"/>
    <n v="14000"/>
    <n v="5800"/>
    <x v="1"/>
    <s v="Chi"/>
  </r>
  <r>
    <s v="ORD1137"/>
    <x v="117"/>
    <x v="4"/>
    <x v="1"/>
    <n v="27"/>
    <x v="2"/>
    <x v="3"/>
    <x v="4"/>
    <s v="XL"/>
    <s v="Red"/>
    <n v="3"/>
    <n v="14000"/>
    <n v="0"/>
    <x v="54"/>
    <n v="25500"/>
    <n v="16500"/>
    <x v="2"/>
    <s v="Chi"/>
  </r>
  <r>
    <s v="ORD1138"/>
    <x v="118"/>
    <x v="4"/>
    <x v="0"/>
    <n v="45"/>
    <x v="2"/>
    <x v="0"/>
    <x v="7"/>
    <s v="L"/>
    <s v="Pink"/>
    <n v="4"/>
    <n v="18000"/>
    <n v="15"/>
    <x v="18"/>
    <n v="44000"/>
    <n v="17200"/>
    <x v="1"/>
    <s v="Ella"/>
  </r>
  <r>
    <s v="ORD1139"/>
    <x v="119"/>
    <x v="3"/>
    <x v="0"/>
    <n v="20"/>
    <x v="4"/>
    <x v="1"/>
    <x v="8"/>
    <s v="M"/>
    <s v="Beige"/>
    <n v="2"/>
    <n v="10000"/>
    <n v="10"/>
    <x v="19"/>
    <n v="12000"/>
    <n v="6000"/>
    <x v="1"/>
    <s v="Maya"/>
  </r>
  <r>
    <s v="ORD1140"/>
    <x v="120"/>
    <x v="2"/>
    <x v="1"/>
    <n v="50"/>
    <x v="3"/>
    <x v="4"/>
    <x v="9"/>
    <s v="L"/>
    <s v="Pink"/>
    <n v="4"/>
    <n v="25000"/>
    <n v="0"/>
    <x v="66"/>
    <n v="68000"/>
    <n v="32000"/>
    <x v="1"/>
    <s v="Tobi"/>
  </r>
  <r>
    <s v="ORD1141"/>
    <x v="121"/>
    <x v="6"/>
    <x v="0"/>
    <n v="55"/>
    <x v="1"/>
    <x v="2"/>
    <x v="2"/>
    <s v="XL"/>
    <s v="Blue"/>
    <n v="3"/>
    <n v="20000"/>
    <n v="15"/>
    <x v="8"/>
    <n v="36000"/>
    <n v="15000"/>
    <x v="0"/>
    <s v="Maya"/>
  </r>
  <r>
    <s v="ORD1142"/>
    <x v="122"/>
    <x v="8"/>
    <x v="0"/>
    <n v="32"/>
    <x v="1"/>
    <x v="2"/>
    <x v="2"/>
    <s v="L"/>
    <s v="Black"/>
    <n v="1"/>
    <n v="20000"/>
    <n v="10"/>
    <x v="19"/>
    <n v="12000"/>
    <n v="6000"/>
    <x v="1"/>
    <s v="Chi"/>
  </r>
  <r>
    <s v="ORD1143"/>
    <x v="123"/>
    <x v="12"/>
    <x v="1"/>
    <n v="47"/>
    <x v="0"/>
    <x v="1"/>
    <x v="8"/>
    <s v="XL"/>
    <s v="Black"/>
    <n v="2"/>
    <n v="10000"/>
    <n v="15"/>
    <x v="9"/>
    <n v="12000"/>
    <n v="5000"/>
    <x v="1"/>
    <s v="Tobi"/>
  </r>
  <r>
    <s v="ORD1144"/>
    <x v="124"/>
    <x v="7"/>
    <x v="0"/>
    <n v="31"/>
    <x v="2"/>
    <x v="1"/>
    <x v="1"/>
    <s v="M"/>
    <s v="Red"/>
    <n v="3"/>
    <n v="8000"/>
    <n v="0"/>
    <x v="81"/>
    <n v="13500"/>
    <n v="10500"/>
    <x v="1"/>
    <s v="Chi"/>
  </r>
  <r>
    <s v="ORD1145"/>
    <x v="125"/>
    <x v="11"/>
    <x v="1"/>
    <n v="34"/>
    <x v="0"/>
    <x v="2"/>
    <x v="2"/>
    <s v="M"/>
    <s v="Beige"/>
    <n v="2"/>
    <n v="20000"/>
    <n v="10"/>
    <x v="3"/>
    <n v="24000"/>
    <n v="12000"/>
    <x v="0"/>
    <s v="Chi"/>
  </r>
  <r>
    <s v="ORD1146"/>
    <x v="126"/>
    <x v="11"/>
    <x v="0"/>
    <n v="38"/>
    <x v="3"/>
    <x v="3"/>
    <x v="3"/>
    <s v="L"/>
    <s v="Red"/>
    <n v="2"/>
    <n v="16000"/>
    <n v="5"/>
    <x v="22"/>
    <n v="20000"/>
    <n v="10400"/>
    <x v="0"/>
    <s v="Maya"/>
  </r>
  <r>
    <s v="ORD1147"/>
    <x v="127"/>
    <x v="11"/>
    <x v="0"/>
    <n v="34"/>
    <x v="3"/>
    <x v="2"/>
    <x v="5"/>
    <s v="S"/>
    <s v="Beige"/>
    <n v="2"/>
    <n v="15000"/>
    <n v="0"/>
    <x v="12"/>
    <n v="18000"/>
    <n v="12000"/>
    <x v="0"/>
    <s v="Ella"/>
  </r>
  <r>
    <s v="ORD1148"/>
    <x v="128"/>
    <x v="10"/>
    <x v="1"/>
    <n v="19"/>
    <x v="0"/>
    <x v="1"/>
    <x v="1"/>
    <s v="S"/>
    <s v="Blue"/>
    <n v="2"/>
    <n v="8000"/>
    <n v="0"/>
    <x v="48"/>
    <n v="9000"/>
    <n v="7000"/>
    <x v="2"/>
    <s v="Ella"/>
  </r>
  <r>
    <s v="ORD1149"/>
    <x v="12"/>
    <x v="6"/>
    <x v="0"/>
    <n v="37"/>
    <x v="4"/>
    <x v="2"/>
    <x v="2"/>
    <s v="L"/>
    <s v="Black"/>
    <n v="1"/>
    <n v="20000"/>
    <n v="10"/>
    <x v="19"/>
    <n v="12000"/>
    <n v="6000"/>
    <x v="1"/>
    <s v="Maya"/>
  </r>
  <r>
    <s v="ORD1150"/>
    <x v="129"/>
    <x v="0"/>
    <x v="0"/>
    <n v="35"/>
    <x v="1"/>
    <x v="3"/>
    <x v="4"/>
    <s v="S"/>
    <s v="Blue"/>
    <n v="1"/>
    <n v="14000"/>
    <n v="0"/>
    <x v="71"/>
    <n v="8500"/>
    <n v="5500"/>
    <x v="2"/>
    <s v="Maya"/>
  </r>
  <r>
    <s v="ORD1151"/>
    <x v="73"/>
    <x v="6"/>
    <x v="0"/>
    <n v="25"/>
    <x v="3"/>
    <x v="3"/>
    <x v="4"/>
    <s v="M"/>
    <s v="Pink"/>
    <n v="3"/>
    <n v="14000"/>
    <n v="10"/>
    <x v="17"/>
    <n v="25500"/>
    <n v="12300"/>
    <x v="0"/>
    <s v="Chi"/>
  </r>
  <r>
    <s v="ORD1152"/>
    <x v="130"/>
    <x v="5"/>
    <x v="1"/>
    <n v="21"/>
    <x v="4"/>
    <x v="2"/>
    <x v="5"/>
    <s v="L"/>
    <s v="Beige"/>
    <n v="3"/>
    <n v="15000"/>
    <n v="15"/>
    <x v="52"/>
    <n v="27000"/>
    <n v="11250"/>
    <x v="0"/>
    <s v="Maya"/>
  </r>
  <r>
    <s v="ORD1153"/>
    <x v="82"/>
    <x v="9"/>
    <x v="1"/>
    <n v="23"/>
    <x v="0"/>
    <x v="4"/>
    <x v="6"/>
    <s v="S"/>
    <s v="Pink"/>
    <n v="2"/>
    <n v="22000"/>
    <n v="10"/>
    <x v="14"/>
    <n v="28000"/>
    <n v="11600"/>
    <x v="2"/>
    <s v="Maya"/>
  </r>
  <r>
    <s v="ORD1154"/>
    <x v="75"/>
    <x v="6"/>
    <x v="1"/>
    <n v="51"/>
    <x v="1"/>
    <x v="4"/>
    <x v="6"/>
    <s v="L"/>
    <s v="Black"/>
    <n v="2"/>
    <n v="22000"/>
    <n v="10"/>
    <x v="14"/>
    <n v="28000"/>
    <n v="11600"/>
    <x v="1"/>
    <s v="Chi"/>
  </r>
  <r>
    <s v="ORD1155"/>
    <x v="131"/>
    <x v="2"/>
    <x v="1"/>
    <n v="31"/>
    <x v="4"/>
    <x v="0"/>
    <x v="0"/>
    <s v="XL"/>
    <s v="Black"/>
    <n v="4"/>
    <n v="15000"/>
    <n v="5"/>
    <x v="1"/>
    <n v="36000"/>
    <n v="21000"/>
    <x v="0"/>
    <s v="Tobi"/>
  </r>
  <r>
    <s v="ORD1156"/>
    <x v="132"/>
    <x v="6"/>
    <x v="1"/>
    <n v="45"/>
    <x v="2"/>
    <x v="2"/>
    <x v="5"/>
    <s v="XL"/>
    <s v="Beige"/>
    <n v="2"/>
    <n v="15000"/>
    <n v="10"/>
    <x v="49"/>
    <n v="18000"/>
    <n v="9000"/>
    <x v="1"/>
    <s v="Ella"/>
  </r>
  <r>
    <s v="ORD1157"/>
    <x v="133"/>
    <x v="6"/>
    <x v="1"/>
    <n v="22"/>
    <x v="1"/>
    <x v="4"/>
    <x v="6"/>
    <s v="L"/>
    <s v="Red"/>
    <n v="2"/>
    <n v="22000"/>
    <n v="15"/>
    <x v="74"/>
    <n v="28000"/>
    <n v="9400"/>
    <x v="0"/>
    <s v="Maya"/>
  </r>
  <r>
    <s v="ORD1158"/>
    <x v="134"/>
    <x v="2"/>
    <x v="0"/>
    <n v="18"/>
    <x v="1"/>
    <x v="2"/>
    <x v="2"/>
    <s v="XL"/>
    <s v="Black"/>
    <n v="1"/>
    <n v="20000"/>
    <n v="15"/>
    <x v="9"/>
    <n v="12000"/>
    <n v="5000"/>
    <x v="0"/>
    <s v="Chi"/>
  </r>
  <r>
    <s v="ORD1159"/>
    <x v="135"/>
    <x v="6"/>
    <x v="1"/>
    <n v="54"/>
    <x v="1"/>
    <x v="4"/>
    <x v="6"/>
    <s v="S"/>
    <s v="Pink"/>
    <n v="1"/>
    <n v="22000"/>
    <n v="0"/>
    <x v="47"/>
    <n v="14000"/>
    <n v="8000"/>
    <x v="0"/>
    <s v="Chi"/>
  </r>
  <r>
    <s v="ORD1160"/>
    <x v="136"/>
    <x v="4"/>
    <x v="0"/>
    <n v="52"/>
    <x v="1"/>
    <x v="4"/>
    <x v="9"/>
    <s v="XL"/>
    <s v="White"/>
    <n v="3"/>
    <n v="25000"/>
    <n v="15"/>
    <x v="29"/>
    <n v="51000"/>
    <n v="12750"/>
    <x v="1"/>
    <s v="Chi"/>
  </r>
  <r>
    <s v="ORD1161"/>
    <x v="137"/>
    <x v="3"/>
    <x v="1"/>
    <n v="34"/>
    <x v="0"/>
    <x v="0"/>
    <x v="0"/>
    <s v="M"/>
    <s v="Black"/>
    <n v="2"/>
    <n v="15000"/>
    <n v="5"/>
    <x v="21"/>
    <n v="18000"/>
    <n v="10500"/>
    <x v="2"/>
    <s v="Chi"/>
  </r>
  <r>
    <s v="ORD1162"/>
    <x v="138"/>
    <x v="9"/>
    <x v="1"/>
    <n v="28"/>
    <x v="2"/>
    <x v="2"/>
    <x v="2"/>
    <s v="XL"/>
    <s v="Red"/>
    <n v="2"/>
    <n v="20000"/>
    <n v="5"/>
    <x v="62"/>
    <n v="24000"/>
    <n v="14000"/>
    <x v="0"/>
    <s v="Tobi"/>
  </r>
  <r>
    <s v="ORD1163"/>
    <x v="139"/>
    <x v="2"/>
    <x v="0"/>
    <n v="52"/>
    <x v="4"/>
    <x v="1"/>
    <x v="8"/>
    <s v="XL"/>
    <s v="Red"/>
    <n v="3"/>
    <n v="10000"/>
    <n v="15"/>
    <x v="82"/>
    <n v="18000"/>
    <n v="7500"/>
    <x v="0"/>
    <s v="Maya"/>
  </r>
  <r>
    <s v="ORD1164"/>
    <x v="140"/>
    <x v="3"/>
    <x v="1"/>
    <n v="35"/>
    <x v="0"/>
    <x v="3"/>
    <x v="4"/>
    <s v="L"/>
    <s v="White"/>
    <n v="3"/>
    <n v="14000"/>
    <n v="0"/>
    <x v="54"/>
    <n v="25500"/>
    <n v="16500"/>
    <x v="1"/>
    <s v="Maya"/>
  </r>
  <r>
    <s v="ORD1165"/>
    <x v="141"/>
    <x v="12"/>
    <x v="0"/>
    <n v="22"/>
    <x v="0"/>
    <x v="4"/>
    <x v="6"/>
    <s v="S"/>
    <s v="Black"/>
    <n v="2"/>
    <n v="22000"/>
    <n v="0"/>
    <x v="25"/>
    <n v="28000"/>
    <n v="16000"/>
    <x v="0"/>
    <s v="Maya"/>
  </r>
  <r>
    <s v="ORD1166"/>
    <x v="142"/>
    <x v="5"/>
    <x v="0"/>
    <n v="32"/>
    <x v="0"/>
    <x v="1"/>
    <x v="8"/>
    <s v="M"/>
    <s v="Black"/>
    <n v="1"/>
    <n v="10000"/>
    <n v="0"/>
    <x v="83"/>
    <n v="6000"/>
    <n v="4000"/>
    <x v="1"/>
    <s v="Chi"/>
  </r>
  <r>
    <s v="ORD1167"/>
    <x v="143"/>
    <x v="12"/>
    <x v="1"/>
    <n v="41"/>
    <x v="2"/>
    <x v="4"/>
    <x v="9"/>
    <s v="L"/>
    <s v="Red"/>
    <n v="2"/>
    <n v="25000"/>
    <n v="15"/>
    <x v="41"/>
    <n v="34000"/>
    <n v="8500"/>
    <x v="0"/>
    <s v="Maya"/>
  </r>
  <r>
    <s v="ORD1168"/>
    <x v="144"/>
    <x v="3"/>
    <x v="0"/>
    <n v="29"/>
    <x v="0"/>
    <x v="1"/>
    <x v="8"/>
    <s v="XL"/>
    <s v="Red"/>
    <n v="1"/>
    <n v="10000"/>
    <n v="0"/>
    <x v="83"/>
    <n v="6000"/>
    <n v="4000"/>
    <x v="1"/>
    <s v="Ella"/>
  </r>
  <r>
    <s v="ORD1169"/>
    <x v="145"/>
    <x v="9"/>
    <x v="1"/>
    <n v="36"/>
    <x v="1"/>
    <x v="0"/>
    <x v="7"/>
    <s v="M"/>
    <s v="Blue"/>
    <n v="3"/>
    <n v="18000"/>
    <n v="10"/>
    <x v="60"/>
    <n v="33000"/>
    <n v="15600"/>
    <x v="1"/>
    <s v="Tobi"/>
  </r>
  <r>
    <s v="ORD1170"/>
    <x v="146"/>
    <x v="0"/>
    <x v="1"/>
    <n v="21"/>
    <x v="1"/>
    <x v="2"/>
    <x v="2"/>
    <s v="S"/>
    <s v="Red"/>
    <n v="1"/>
    <n v="20000"/>
    <n v="5"/>
    <x v="80"/>
    <n v="12000"/>
    <n v="7000"/>
    <x v="0"/>
    <s v="Ella"/>
  </r>
  <r>
    <s v="ORD1171"/>
    <x v="12"/>
    <x v="6"/>
    <x v="1"/>
    <n v="35"/>
    <x v="4"/>
    <x v="3"/>
    <x v="4"/>
    <s v="XL"/>
    <s v="Pink"/>
    <n v="1"/>
    <n v="14000"/>
    <n v="0"/>
    <x v="71"/>
    <n v="8500"/>
    <n v="5500"/>
    <x v="1"/>
    <s v="Tobi"/>
  </r>
  <r>
    <s v="ORD1172"/>
    <x v="75"/>
    <x v="11"/>
    <x v="0"/>
    <n v="46"/>
    <x v="1"/>
    <x v="2"/>
    <x v="5"/>
    <s v="M"/>
    <s v="White"/>
    <n v="3"/>
    <n v="15000"/>
    <n v="0"/>
    <x v="53"/>
    <n v="27000"/>
    <n v="18000"/>
    <x v="2"/>
    <s v="Tobi"/>
  </r>
  <r>
    <s v="ORD1173"/>
    <x v="100"/>
    <x v="12"/>
    <x v="1"/>
    <n v="32"/>
    <x v="3"/>
    <x v="0"/>
    <x v="7"/>
    <s v="M"/>
    <s v="Black"/>
    <n v="4"/>
    <n v="18000"/>
    <n v="5"/>
    <x v="84"/>
    <n v="44000"/>
    <n v="24400"/>
    <x v="2"/>
    <s v="Chi"/>
  </r>
  <r>
    <s v="ORD1174"/>
    <x v="147"/>
    <x v="7"/>
    <x v="1"/>
    <n v="25"/>
    <x v="2"/>
    <x v="3"/>
    <x v="3"/>
    <s v="M"/>
    <s v="Pink"/>
    <n v="2"/>
    <n v="16000"/>
    <n v="10"/>
    <x v="69"/>
    <n v="20000"/>
    <n v="8800"/>
    <x v="2"/>
    <s v="Chi"/>
  </r>
  <r>
    <s v="ORD1175"/>
    <x v="99"/>
    <x v="9"/>
    <x v="1"/>
    <n v="22"/>
    <x v="3"/>
    <x v="4"/>
    <x v="6"/>
    <s v="XL"/>
    <s v="Red"/>
    <n v="4"/>
    <n v="22000"/>
    <n v="10"/>
    <x v="20"/>
    <n v="56000"/>
    <n v="23200"/>
    <x v="2"/>
    <s v="Ella"/>
  </r>
  <r>
    <s v="ORD1176"/>
    <x v="148"/>
    <x v="0"/>
    <x v="1"/>
    <n v="43"/>
    <x v="0"/>
    <x v="3"/>
    <x v="4"/>
    <s v="L"/>
    <s v="Black"/>
    <n v="3"/>
    <n v="14000"/>
    <n v="15"/>
    <x v="70"/>
    <n v="25500"/>
    <n v="10200"/>
    <x v="0"/>
    <s v="Tobi"/>
  </r>
  <r>
    <s v="ORD1177"/>
    <x v="149"/>
    <x v="11"/>
    <x v="1"/>
    <n v="48"/>
    <x v="0"/>
    <x v="3"/>
    <x v="3"/>
    <s v="S"/>
    <s v="Pink"/>
    <n v="4"/>
    <n v="16000"/>
    <n v="0"/>
    <x v="85"/>
    <n v="40000"/>
    <n v="24000"/>
    <x v="0"/>
    <s v="Chi"/>
  </r>
  <r>
    <s v="ORD1178"/>
    <x v="150"/>
    <x v="0"/>
    <x v="1"/>
    <n v="29"/>
    <x v="0"/>
    <x v="0"/>
    <x v="0"/>
    <s v="S"/>
    <s v="Beige"/>
    <n v="1"/>
    <n v="15000"/>
    <n v="10"/>
    <x v="0"/>
    <n v="9000"/>
    <n v="4500"/>
    <x v="0"/>
    <s v="Chi"/>
  </r>
  <r>
    <s v="ORD1179"/>
    <x v="151"/>
    <x v="12"/>
    <x v="1"/>
    <n v="32"/>
    <x v="3"/>
    <x v="1"/>
    <x v="1"/>
    <s v="L"/>
    <s v="Pink"/>
    <n v="3"/>
    <n v="8000"/>
    <n v="5"/>
    <x v="7"/>
    <n v="13500"/>
    <n v="9300"/>
    <x v="1"/>
    <s v="Maya"/>
  </r>
  <r>
    <s v="ORD1180"/>
    <x v="152"/>
    <x v="8"/>
    <x v="1"/>
    <n v="31"/>
    <x v="2"/>
    <x v="0"/>
    <x v="0"/>
    <s v="L"/>
    <s v="Black"/>
    <n v="4"/>
    <n v="15000"/>
    <n v="15"/>
    <x v="8"/>
    <n v="36000"/>
    <n v="15000"/>
    <x v="1"/>
    <s v="Maya"/>
  </r>
  <r>
    <s v="ORD1181"/>
    <x v="110"/>
    <x v="9"/>
    <x v="0"/>
    <n v="54"/>
    <x v="1"/>
    <x v="3"/>
    <x v="3"/>
    <s v="M"/>
    <s v="Blue"/>
    <n v="2"/>
    <n v="16000"/>
    <n v="10"/>
    <x v="69"/>
    <n v="20000"/>
    <n v="8800"/>
    <x v="2"/>
    <s v="Ella"/>
  </r>
  <r>
    <s v="ORD1182"/>
    <x v="134"/>
    <x v="9"/>
    <x v="1"/>
    <n v="42"/>
    <x v="0"/>
    <x v="2"/>
    <x v="5"/>
    <s v="L"/>
    <s v="Pink"/>
    <n v="1"/>
    <n v="15000"/>
    <n v="5"/>
    <x v="28"/>
    <n v="9000"/>
    <n v="5250"/>
    <x v="1"/>
    <s v="Tobi"/>
  </r>
  <r>
    <s v="ORD1183"/>
    <x v="153"/>
    <x v="8"/>
    <x v="0"/>
    <n v="32"/>
    <x v="1"/>
    <x v="3"/>
    <x v="3"/>
    <s v="XL"/>
    <s v="Red"/>
    <n v="2"/>
    <n v="16000"/>
    <n v="15"/>
    <x v="65"/>
    <n v="20000"/>
    <n v="7200"/>
    <x v="2"/>
    <s v="Chi"/>
  </r>
  <r>
    <s v="ORD1184"/>
    <x v="19"/>
    <x v="2"/>
    <x v="0"/>
    <n v="27"/>
    <x v="0"/>
    <x v="4"/>
    <x v="9"/>
    <s v="S"/>
    <s v="Red"/>
    <n v="4"/>
    <n v="25000"/>
    <n v="5"/>
    <x v="86"/>
    <n v="68000"/>
    <n v="27000"/>
    <x v="1"/>
    <s v="Ella"/>
  </r>
  <r>
    <s v="ORD1185"/>
    <x v="154"/>
    <x v="2"/>
    <x v="0"/>
    <n v="34"/>
    <x v="2"/>
    <x v="4"/>
    <x v="6"/>
    <s v="L"/>
    <s v="Pink"/>
    <n v="2"/>
    <n v="22000"/>
    <n v="10"/>
    <x v="14"/>
    <n v="28000"/>
    <n v="11600"/>
    <x v="0"/>
    <s v="Tobi"/>
  </r>
  <r>
    <s v="ORD1186"/>
    <x v="129"/>
    <x v="9"/>
    <x v="1"/>
    <n v="45"/>
    <x v="0"/>
    <x v="0"/>
    <x v="0"/>
    <s v="XL"/>
    <s v="Black"/>
    <n v="4"/>
    <n v="15000"/>
    <n v="0"/>
    <x v="87"/>
    <n v="36000"/>
    <n v="24000"/>
    <x v="2"/>
    <s v="Ella"/>
  </r>
  <r>
    <s v="ORD1187"/>
    <x v="5"/>
    <x v="7"/>
    <x v="0"/>
    <n v="24"/>
    <x v="1"/>
    <x v="1"/>
    <x v="1"/>
    <s v="XL"/>
    <s v="Pink"/>
    <n v="3"/>
    <n v="8000"/>
    <n v="15"/>
    <x v="59"/>
    <n v="13500"/>
    <n v="6900"/>
    <x v="1"/>
    <s v="Chi"/>
  </r>
  <r>
    <s v="ORD1188"/>
    <x v="155"/>
    <x v="2"/>
    <x v="1"/>
    <n v="27"/>
    <x v="4"/>
    <x v="2"/>
    <x v="5"/>
    <s v="L"/>
    <s v="Blue"/>
    <n v="2"/>
    <n v="15000"/>
    <n v="15"/>
    <x v="82"/>
    <n v="18000"/>
    <n v="7500"/>
    <x v="0"/>
    <s v="Ella"/>
  </r>
  <r>
    <s v="ORD1189"/>
    <x v="156"/>
    <x v="2"/>
    <x v="0"/>
    <n v="34"/>
    <x v="3"/>
    <x v="0"/>
    <x v="7"/>
    <s v="L"/>
    <s v="White"/>
    <n v="4"/>
    <n v="18000"/>
    <n v="5"/>
    <x v="84"/>
    <n v="44000"/>
    <n v="24400"/>
    <x v="0"/>
    <s v="Tobi"/>
  </r>
  <r>
    <s v="ORD1190"/>
    <x v="157"/>
    <x v="8"/>
    <x v="0"/>
    <n v="20"/>
    <x v="4"/>
    <x v="0"/>
    <x v="7"/>
    <s v="L"/>
    <s v="Black"/>
    <n v="1"/>
    <n v="18000"/>
    <n v="15"/>
    <x v="88"/>
    <n v="11000"/>
    <n v="4300"/>
    <x v="2"/>
    <s v="Maya"/>
  </r>
  <r>
    <s v="ORD1191"/>
    <x v="158"/>
    <x v="6"/>
    <x v="1"/>
    <n v="28"/>
    <x v="4"/>
    <x v="2"/>
    <x v="5"/>
    <s v="XL"/>
    <s v="Blue"/>
    <n v="1"/>
    <n v="15000"/>
    <n v="0"/>
    <x v="35"/>
    <n v="9000"/>
    <n v="6000"/>
    <x v="2"/>
    <s v="Tobi"/>
  </r>
  <r>
    <s v="ORD1192"/>
    <x v="159"/>
    <x v="2"/>
    <x v="0"/>
    <n v="20"/>
    <x v="3"/>
    <x v="2"/>
    <x v="2"/>
    <s v="M"/>
    <s v="White"/>
    <n v="4"/>
    <n v="20000"/>
    <n v="5"/>
    <x v="67"/>
    <n v="48000"/>
    <n v="28000"/>
    <x v="0"/>
    <s v="Tobi"/>
  </r>
  <r>
    <s v="ORD1193"/>
    <x v="62"/>
    <x v="4"/>
    <x v="1"/>
    <n v="32"/>
    <x v="3"/>
    <x v="0"/>
    <x v="0"/>
    <s v="S"/>
    <s v="Pink"/>
    <n v="4"/>
    <n v="15000"/>
    <n v="5"/>
    <x v="1"/>
    <n v="36000"/>
    <n v="21000"/>
    <x v="1"/>
    <s v="Tobi"/>
  </r>
  <r>
    <s v="ORD1194"/>
    <x v="160"/>
    <x v="0"/>
    <x v="0"/>
    <n v="20"/>
    <x v="3"/>
    <x v="1"/>
    <x v="8"/>
    <s v="XL"/>
    <s v="Red"/>
    <n v="2"/>
    <n v="10000"/>
    <n v="15"/>
    <x v="9"/>
    <n v="12000"/>
    <n v="5000"/>
    <x v="1"/>
    <s v="Ella"/>
  </r>
  <r>
    <s v="ORD1195"/>
    <x v="161"/>
    <x v="9"/>
    <x v="0"/>
    <n v="23"/>
    <x v="2"/>
    <x v="0"/>
    <x v="0"/>
    <s v="M"/>
    <s v="White"/>
    <n v="4"/>
    <n v="15000"/>
    <n v="5"/>
    <x v="1"/>
    <n v="36000"/>
    <n v="21000"/>
    <x v="1"/>
    <s v="Chi"/>
  </r>
  <r>
    <s v="ORD1196"/>
    <x v="11"/>
    <x v="12"/>
    <x v="0"/>
    <n v="34"/>
    <x v="0"/>
    <x v="3"/>
    <x v="4"/>
    <s v="XL"/>
    <s v="Black"/>
    <n v="2"/>
    <n v="14000"/>
    <n v="15"/>
    <x v="5"/>
    <n v="17000"/>
    <n v="6800"/>
    <x v="2"/>
    <s v="Maya"/>
  </r>
  <r>
    <s v="ORD1197"/>
    <x v="82"/>
    <x v="2"/>
    <x v="1"/>
    <n v="42"/>
    <x v="0"/>
    <x v="3"/>
    <x v="4"/>
    <s v="L"/>
    <s v="White"/>
    <n v="1"/>
    <n v="14000"/>
    <n v="15"/>
    <x v="68"/>
    <n v="8500"/>
    <n v="3400"/>
    <x v="1"/>
    <s v="Ella"/>
  </r>
  <r>
    <s v="ORD1198"/>
    <x v="162"/>
    <x v="9"/>
    <x v="1"/>
    <n v="55"/>
    <x v="0"/>
    <x v="1"/>
    <x v="8"/>
    <s v="M"/>
    <s v="Beige"/>
    <n v="4"/>
    <n v="10000"/>
    <n v="0"/>
    <x v="44"/>
    <n v="24000"/>
    <n v="16000"/>
    <x v="1"/>
    <s v="Chi"/>
  </r>
  <r>
    <s v="ORD1199"/>
    <x v="163"/>
    <x v="9"/>
    <x v="0"/>
    <n v="41"/>
    <x v="4"/>
    <x v="4"/>
    <x v="9"/>
    <s v="L"/>
    <s v="Red"/>
    <n v="3"/>
    <n v="25000"/>
    <n v="10"/>
    <x v="26"/>
    <n v="51000"/>
    <n v="16500"/>
    <x v="0"/>
    <s v="Maya"/>
  </r>
  <r>
    <s v="ORD1200"/>
    <x v="51"/>
    <x v="2"/>
    <x v="0"/>
    <n v="42"/>
    <x v="4"/>
    <x v="4"/>
    <x v="6"/>
    <s v="L"/>
    <s v="Red"/>
    <n v="1"/>
    <n v="22000"/>
    <n v="10"/>
    <x v="36"/>
    <n v="14000"/>
    <n v="5800"/>
    <x v="1"/>
    <s v="Chi"/>
  </r>
  <r>
    <s v="ORD1201"/>
    <x v="164"/>
    <x v="5"/>
    <x v="0"/>
    <n v="21"/>
    <x v="1"/>
    <x v="1"/>
    <x v="8"/>
    <s v="S"/>
    <s v="Beige"/>
    <n v="4"/>
    <n v="10000"/>
    <n v="5"/>
    <x v="62"/>
    <n v="24000"/>
    <n v="14000"/>
    <x v="2"/>
    <s v="Tobi"/>
  </r>
  <r>
    <s v="ORD1202"/>
    <x v="28"/>
    <x v="3"/>
    <x v="1"/>
    <n v="22"/>
    <x v="1"/>
    <x v="4"/>
    <x v="9"/>
    <s v="S"/>
    <s v="Black"/>
    <n v="4"/>
    <n v="25000"/>
    <n v="10"/>
    <x v="89"/>
    <n v="68000"/>
    <n v="22000"/>
    <x v="0"/>
    <s v="Maya"/>
  </r>
  <r>
    <s v="ORD1203"/>
    <x v="165"/>
    <x v="0"/>
    <x v="1"/>
    <n v="54"/>
    <x v="1"/>
    <x v="0"/>
    <x v="0"/>
    <s v="M"/>
    <s v="Red"/>
    <n v="3"/>
    <n v="15000"/>
    <n v="10"/>
    <x v="90"/>
    <n v="27000"/>
    <n v="13500"/>
    <x v="1"/>
    <s v="Maya"/>
  </r>
  <r>
    <s v="ORD1204"/>
    <x v="83"/>
    <x v="6"/>
    <x v="1"/>
    <n v="45"/>
    <x v="1"/>
    <x v="0"/>
    <x v="7"/>
    <s v="XL"/>
    <s v="Black"/>
    <n v="4"/>
    <n v="18000"/>
    <n v="15"/>
    <x v="18"/>
    <n v="44000"/>
    <n v="17200"/>
    <x v="0"/>
    <s v="Maya"/>
  </r>
  <r>
    <s v="ORD1205"/>
    <x v="139"/>
    <x v="8"/>
    <x v="0"/>
    <n v="32"/>
    <x v="1"/>
    <x v="3"/>
    <x v="4"/>
    <s v="L"/>
    <s v="White"/>
    <n v="1"/>
    <n v="14000"/>
    <n v="10"/>
    <x v="43"/>
    <n v="8500"/>
    <n v="4100"/>
    <x v="0"/>
    <s v="Chi"/>
  </r>
  <r>
    <s v="ORD1206"/>
    <x v="166"/>
    <x v="4"/>
    <x v="1"/>
    <n v="45"/>
    <x v="4"/>
    <x v="2"/>
    <x v="5"/>
    <s v="XL"/>
    <s v="Pink"/>
    <n v="2"/>
    <n v="15000"/>
    <n v="15"/>
    <x v="82"/>
    <n v="18000"/>
    <n v="7500"/>
    <x v="2"/>
    <s v="Maya"/>
  </r>
  <r>
    <s v="ORD1207"/>
    <x v="167"/>
    <x v="3"/>
    <x v="0"/>
    <n v="53"/>
    <x v="3"/>
    <x v="3"/>
    <x v="4"/>
    <s v="S"/>
    <s v="Beige"/>
    <n v="2"/>
    <n v="14000"/>
    <n v="5"/>
    <x v="91"/>
    <n v="17000"/>
    <n v="9600"/>
    <x v="0"/>
    <s v="Ella"/>
  </r>
  <r>
    <s v="ORD1208"/>
    <x v="136"/>
    <x v="6"/>
    <x v="0"/>
    <n v="41"/>
    <x v="1"/>
    <x v="2"/>
    <x v="5"/>
    <s v="L"/>
    <s v="Black"/>
    <n v="4"/>
    <n v="15000"/>
    <n v="0"/>
    <x v="87"/>
    <n v="36000"/>
    <n v="24000"/>
    <x v="2"/>
    <s v="Ella"/>
  </r>
  <r>
    <s v="ORD1209"/>
    <x v="168"/>
    <x v="1"/>
    <x v="0"/>
    <n v="47"/>
    <x v="2"/>
    <x v="0"/>
    <x v="0"/>
    <s v="S"/>
    <s v="Pink"/>
    <n v="4"/>
    <n v="15000"/>
    <n v="10"/>
    <x v="6"/>
    <n v="36000"/>
    <n v="18000"/>
    <x v="2"/>
    <s v="Tobi"/>
  </r>
  <r>
    <s v="ORD1210"/>
    <x v="40"/>
    <x v="10"/>
    <x v="1"/>
    <n v="23"/>
    <x v="0"/>
    <x v="3"/>
    <x v="3"/>
    <s v="XL"/>
    <s v="White"/>
    <n v="2"/>
    <n v="16000"/>
    <n v="0"/>
    <x v="50"/>
    <n v="20000"/>
    <n v="12000"/>
    <x v="0"/>
    <s v="Tobi"/>
  </r>
  <r>
    <s v="ORD1211"/>
    <x v="60"/>
    <x v="6"/>
    <x v="0"/>
    <n v="49"/>
    <x v="2"/>
    <x v="4"/>
    <x v="6"/>
    <s v="L"/>
    <s v="Beige"/>
    <n v="3"/>
    <n v="22000"/>
    <n v="10"/>
    <x v="24"/>
    <n v="42000"/>
    <n v="17400"/>
    <x v="2"/>
    <s v="Ella"/>
  </r>
  <r>
    <s v="ORD1212"/>
    <x v="169"/>
    <x v="9"/>
    <x v="0"/>
    <n v="29"/>
    <x v="0"/>
    <x v="3"/>
    <x v="3"/>
    <s v="S"/>
    <s v="Pink"/>
    <n v="2"/>
    <n v="16000"/>
    <n v="5"/>
    <x v="22"/>
    <n v="20000"/>
    <n v="10400"/>
    <x v="2"/>
    <s v="Maya"/>
  </r>
  <r>
    <s v="ORD1213"/>
    <x v="170"/>
    <x v="7"/>
    <x v="1"/>
    <n v="49"/>
    <x v="2"/>
    <x v="4"/>
    <x v="6"/>
    <s v="L"/>
    <s v="Black"/>
    <n v="2"/>
    <n v="22000"/>
    <n v="15"/>
    <x v="74"/>
    <n v="28000"/>
    <n v="9400"/>
    <x v="2"/>
    <s v="Chi"/>
  </r>
  <r>
    <s v="ORD1214"/>
    <x v="171"/>
    <x v="8"/>
    <x v="1"/>
    <n v="51"/>
    <x v="4"/>
    <x v="1"/>
    <x v="1"/>
    <s v="XL"/>
    <s v="Black"/>
    <n v="4"/>
    <n v="8000"/>
    <n v="15"/>
    <x v="65"/>
    <n v="18000"/>
    <n v="9200"/>
    <x v="1"/>
    <s v="Chi"/>
  </r>
  <r>
    <s v="ORD1215"/>
    <x v="59"/>
    <x v="1"/>
    <x v="1"/>
    <n v="54"/>
    <x v="3"/>
    <x v="0"/>
    <x v="0"/>
    <s v="XL"/>
    <s v="Blue"/>
    <n v="1"/>
    <n v="15000"/>
    <n v="15"/>
    <x v="45"/>
    <n v="9000"/>
    <n v="3750"/>
    <x v="2"/>
    <s v="Ella"/>
  </r>
  <r>
    <s v="ORD1216"/>
    <x v="120"/>
    <x v="7"/>
    <x v="1"/>
    <n v="32"/>
    <x v="0"/>
    <x v="1"/>
    <x v="1"/>
    <s v="M"/>
    <s v="Blue"/>
    <n v="4"/>
    <n v="8000"/>
    <n v="0"/>
    <x v="50"/>
    <n v="18000"/>
    <n v="14000"/>
    <x v="1"/>
    <s v="Maya"/>
  </r>
  <r>
    <s v="ORD1217"/>
    <x v="159"/>
    <x v="0"/>
    <x v="1"/>
    <n v="25"/>
    <x v="1"/>
    <x v="2"/>
    <x v="5"/>
    <s v="XL"/>
    <s v="Blue"/>
    <n v="1"/>
    <n v="15000"/>
    <n v="10"/>
    <x v="0"/>
    <n v="9000"/>
    <n v="4500"/>
    <x v="0"/>
    <s v="Ella"/>
  </r>
  <r>
    <s v="ORD1218"/>
    <x v="166"/>
    <x v="11"/>
    <x v="1"/>
    <n v="55"/>
    <x v="0"/>
    <x v="3"/>
    <x v="4"/>
    <s v="M"/>
    <s v="Black"/>
    <n v="4"/>
    <n v="14000"/>
    <n v="5"/>
    <x v="92"/>
    <n v="34000"/>
    <n v="19200"/>
    <x v="0"/>
    <s v="Tobi"/>
  </r>
  <r>
    <s v="ORD1219"/>
    <x v="25"/>
    <x v="7"/>
    <x v="0"/>
    <n v="45"/>
    <x v="3"/>
    <x v="3"/>
    <x v="3"/>
    <s v="L"/>
    <s v="Beige"/>
    <n v="4"/>
    <n v="16000"/>
    <n v="5"/>
    <x v="93"/>
    <n v="40000"/>
    <n v="20800"/>
    <x v="0"/>
    <s v="Tobi"/>
  </r>
  <r>
    <s v="ORD1220"/>
    <x v="5"/>
    <x v="4"/>
    <x v="1"/>
    <n v="48"/>
    <x v="1"/>
    <x v="2"/>
    <x v="5"/>
    <s v="M"/>
    <s v="Pink"/>
    <n v="1"/>
    <n v="15000"/>
    <n v="0"/>
    <x v="35"/>
    <n v="9000"/>
    <n v="6000"/>
    <x v="1"/>
    <s v="Tobi"/>
  </r>
  <r>
    <s v="ORD1221"/>
    <x v="172"/>
    <x v="7"/>
    <x v="0"/>
    <n v="40"/>
    <x v="3"/>
    <x v="3"/>
    <x v="3"/>
    <s v="XL"/>
    <s v="White"/>
    <n v="4"/>
    <n v="16000"/>
    <n v="10"/>
    <x v="94"/>
    <n v="40000"/>
    <n v="17600"/>
    <x v="2"/>
    <s v="Maya"/>
  </r>
  <r>
    <s v="ORD1222"/>
    <x v="76"/>
    <x v="0"/>
    <x v="1"/>
    <n v="46"/>
    <x v="2"/>
    <x v="0"/>
    <x v="7"/>
    <s v="XL"/>
    <s v="Black"/>
    <n v="4"/>
    <n v="18000"/>
    <n v="5"/>
    <x v="84"/>
    <n v="44000"/>
    <n v="24400"/>
    <x v="1"/>
    <s v="Ella"/>
  </r>
  <r>
    <s v="ORD1223"/>
    <x v="173"/>
    <x v="10"/>
    <x v="0"/>
    <n v="46"/>
    <x v="4"/>
    <x v="3"/>
    <x v="4"/>
    <s v="M"/>
    <s v="Pink"/>
    <n v="4"/>
    <n v="14000"/>
    <n v="0"/>
    <x v="77"/>
    <n v="34000"/>
    <n v="22000"/>
    <x v="1"/>
    <s v="Tobi"/>
  </r>
  <r>
    <s v="ORD1224"/>
    <x v="174"/>
    <x v="6"/>
    <x v="0"/>
    <n v="50"/>
    <x v="2"/>
    <x v="1"/>
    <x v="8"/>
    <s v="L"/>
    <s v="Black"/>
    <n v="1"/>
    <n v="10000"/>
    <n v="10"/>
    <x v="95"/>
    <n v="6000"/>
    <n v="3000"/>
    <x v="0"/>
    <s v="Chi"/>
  </r>
  <r>
    <s v="ORD1225"/>
    <x v="55"/>
    <x v="1"/>
    <x v="0"/>
    <n v="32"/>
    <x v="0"/>
    <x v="0"/>
    <x v="0"/>
    <s v="L"/>
    <s v="Pink"/>
    <n v="4"/>
    <n v="15000"/>
    <n v="10"/>
    <x v="6"/>
    <n v="36000"/>
    <n v="18000"/>
    <x v="2"/>
    <s v="Chi"/>
  </r>
  <r>
    <s v="ORD1226"/>
    <x v="20"/>
    <x v="0"/>
    <x v="0"/>
    <n v="48"/>
    <x v="1"/>
    <x v="3"/>
    <x v="4"/>
    <s v="S"/>
    <s v="Blue"/>
    <n v="3"/>
    <n v="14000"/>
    <n v="0"/>
    <x v="54"/>
    <n v="25500"/>
    <n v="16500"/>
    <x v="0"/>
    <s v="Chi"/>
  </r>
  <r>
    <s v="ORD1227"/>
    <x v="175"/>
    <x v="5"/>
    <x v="0"/>
    <n v="50"/>
    <x v="4"/>
    <x v="0"/>
    <x v="0"/>
    <s v="M"/>
    <s v="Pink"/>
    <n v="1"/>
    <n v="15000"/>
    <n v="10"/>
    <x v="0"/>
    <n v="9000"/>
    <n v="4500"/>
    <x v="1"/>
    <s v="Chi"/>
  </r>
  <r>
    <s v="ORD1228"/>
    <x v="176"/>
    <x v="10"/>
    <x v="1"/>
    <n v="26"/>
    <x v="3"/>
    <x v="0"/>
    <x v="7"/>
    <s v="XL"/>
    <s v="Pink"/>
    <n v="4"/>
    <n v="18000"/>
    <n v="0"/>
    <x v="13"/>
    <n v="44000"/>
    <n v="28000"/>
    <x v="0"/>
    <s v="Tobi"/>
  </r>
  <r>
    <s v="ORD1229"/>
    <x v="31"/>
    <x v="0"/>
    <x v="0"/>
    <n v="52"/>
    <x v="0"/>
    <x v="3"/>
    <x v="3"/>
    <s v="S"/>
    <s v="Beige"/>
    <n v="2"/>
    <n v="16000"/>
    <n v="10"/>
    <x v="69"/>
    <n v="20000"/>
    <n v="8800"/>
    <x v="1"/>
    <s v="Ella"/>
  </r>
  <r>
    <s v="ORD1230"/>
    <x v="177"/>
    <x v="11"/>
    <x v="1"/>
    <n v="26"/>
    <x v="3"/>
    <x v="3"/>
    <x v="3"/>
    <s v="M"/>
    <s v="Red"/>
    <n v="2"/>
    <n v="16000"/>
    <n v="10"/>
    <x v="69"/>
    <n v="20000"/>
    <n v="8800"/>
    <x v="0"/>
    <s v="Maya"/>
  </r>
  <r>
    <s v="ORD1231"/>
    <x v="168"/>
    <x v="4"/>
    <x v="1"/>
    <n v="21"/>
    <x v="3"/>
    <x v="3"/>
    <x v="3"/>
    <s v="S"/>
    <s v="White"/>
    <n v="1"/>
    <n v="16000"/>
    <n v="0"/>
    <x v="48"/>
    <n v="10000"/>
    <n v="6000"/>
    <x v="1"/>
    <s v="Maya"/>
  </r>
  <r>
    <s v="ORD1232"/>
    <x v="171"/>
    <x v="3"/>
    <x v="0"/>
    <n v="54"/>
    <x v="3"/>
    <x v="1"/>
    <x v="8"/>
    <s v="S"/>
    <s v="White"/>
    <n v="3"/>
    <n v="10000"/>
    <n v="10"/>
    <x v="49"/>
    <n v="18000"/>
    <n v="9000"/>
    <x v="2"/>
    <s v="Tobi"/>
  </r>
  <r>
    <s v="ORD1233"/>
    <x v="85"/>
    <x v="1"/>
    <x v="1"/>
    <n v="27"/>
    <x v="0"/>
    <x v="2"/>
    <x v="5"/>
    <s v="L"/>
    <s v="Black"/>
    <n v="4"/>
    <n v="15000"/>
    <n v="0"/>
    <x v="87"/>
    <n v="36000"/>
    <n v="24000"/>
    <x v="1"/>
    <s v="Maya"/>
  </r>
  <r>
    <s v="ORD1234"/>
    <x v="66"/>
    <x v="4"/>
    <x v="0"/>
    <n v="39"/>
    <x v="3"/>
    <x v="2"/>
    <x v="5"/>
    <s v="S"/>
    <s v="Beige"/>
    <n v="3"/>
    <n v="15000"/>
    <n v="15"/>
    <x v="52"/>
    <n v="27000"/>
    <n v="11250"/>
    <x v="1"/>
    <s v="Tobi"/>
  </r>
  <r>
    <s v="ORD1235"/>
    <x v="125"/>
    <x v="9"/>
    <x v="0"/>
    <n v="26"/>
    <x v="3"/>
    <x v="0"/>
    <x v="0"/>
    <s v="M"/>
    <s v="Red"/>
    <n v="3"/>
    <n v="15000"/>
    <n v="10"/>
    <x v="90"/>
    <n v="27000"/>
    <n v="13500"/>
    <x v="0"/>
    <s v="Maya"/>
  </r>
  <r>
    <s v="ORD1236"/>
    <x v="178"/>
    <x v="2"/>
    <x v="1"/>
    <n v="53"/>
    <x v="0"/>
    <x v="4"/>
    <x v="6"/>
    <s v="XL"/>
    <s v="Blue"/>
    <n v="4"/>
    <n v="22000"/>
    <n v="5"/>
    <x v="56"/>
    <n v="56000"/>
    <n v="27600"/>
    <x v="0"/>
    <s v="Tobi"/>
  </r>
  <r>
    <s v="ORD1237"/>
    <x v="156"/>
    <x v="9"/>
    <x v="0"/>
    <n v="30"/>
    <x v="0"/>
    <x v="3"/>
    <x v="4"/>
    <s v="L"/>
    <s v="White"/>
    <n v="1"/>
    <n v="14000"/>
    <n v="0"/>
    <x v="71"/>
    <n v="8500"/>
    <n v="5500"/>
    <x v="2"/>
    <s v="Tobi"/>
  </r>
  <r>
    <s v="ORD1238"/>
    <x v="134"/>
    <x v="4"/>
    <x v="0"/>
    <n v="29"/>
    <x v="0"/>
    <x v="0"/>
    <x v="0"/>
    <s v="S"/>
    <s v="Red"/>
    <n v="2"/>
    <n v="15000"/>
    <n v="15"/>
    <x v="82"/>
    <n v="18000"/>
    <n v="7500"/>
    <x v="1"/>
    <s v="Ella"/>
  </r>
  <r>
    <s v="ORD1239"/>
    <x v="179"/>
    <x v="8"/>
    <x v="1"/>
    <n v="48"/>
    <x v="3"/>
    <x v="3"/>
    <x v="4"/>
    <s v="L"/>
    <s v="Beige"/>
    <n v="1"/>
    <n v="14000"/>
    <n v="10"/>
    <x v="43"/>
    <n v="8500"/>
    <n v="4100"/>
    <x v="0"/>
    <s v="Ella"/>
  </r>
  <r>
    <s v="ORD1240"/>
    <x v="180"/>
    <x v="1"/>
    <x v="0"/>
    <n v="40"/>
    <x v="2"/>
    <x v="0"/>
    <x v="7"/>
    <s v="L"/>
    <s v="Black"/>
    <n v="2"/>
    <n v="18000"/>
    <n v="0"/>
    <x v="3"/>
    <n v="22000"/>
    <n v="14000"/>
    <x v="2"/>
    <s v="Tobi"/>
  </r>
  <r>
    <s v="ORD1241"/>
    <x v="159"/>
    <x v="3"/>
    <x v="0"/>
    <n v="39"/>
    <x v="4"/>
    <x v="0"/>
    <x v="0"/>
    <s v="L"/>
    <s v="Red"/>
    <n v="3"/>
    <n v="15000"/>
    <n v="15"/>
    <x v="52"/>
    <n v="27000"/>
    <n v="11250"/>
    <x v="1"/>
    <s v="Tobi"/>
  </r>
  <r>
    <s v="ORD1242"/>
    <x v="181"/>
    <x v="0"/>
    <x v="1"/>
    <n v="39"/>
    <x v="1"/>
    <x v="3"/>
    <x v="3"/>
    <s v="XL"/>
    <s v="Beige"/>
    <n v="3"/>
    <n v="16000"/>
    <n v="15"/>
    <x v="38"/>
    <n v="30000"/>
    <n v="10800"/>
    <x v="2"/>
    <s v="Chi"/>
  </r>
  <r>
    <s v="ORD1243"/>
    <x v="182"/>
    <x v="10"/>
    <x v="0"/>
    <n v="55"/>
    <x v="0"/>
    <x v="1"/>
    <x v="1"/>
    <s v="L"/>
    <s v="White"/>
    <n v="2"/>
    <n v="8000"/>
    <n v="15"/>
    <x v="96"/>
    <n v="9000"/>
    <n v="4600"/>
    <x v="1"/>
    <s v="Chi"/>
  </r>
  <r>
    <s v="ORD1244"/>
    <x v="180"/>
    <x v="7"/>
    <x v="0"/>
    <n v="49"/>
    <x v="4"/>
    <x v="4"/>
    <x v="6"/>
    <s v="M"/>
    <s v="Beige"/>
    <n v="3"/>
    <n v="22000"/>
    <n v="10"/>
    <x v="24"/>
    <n v="42000"/>
    <n v="17400"/>
    <x v="2"/>
    <s v="Ella"/>
  </r>
  <r>
    <s v="ORD1245"/>
    <x v="0"/>
    <x v="3"/>
    <x v="1"/>
    <n v="25"/>
    <x v="4"/>
    <x v="3"/>
    <x v="3"/>
    <s v="XL"/>
    <s v="Blue"/>
    <n v="3"/>
    <n v="16000"/>
    <n v="0"/>
    <x v="30"/>
    <n v="30000"/>
    <n v="18000"/>
    <x v="0"/>
    <s v="Maya"/>
  </r>
  <r>
    <s v="ORD1246"/>
    <x v="183"/>
    <x v="8"/>
    <x v="0"/>
    <n v="25"/>
    <x v="3"/>
    <x v="4"/>
    <x v="6"/>
    <s v="S"/>
    <s v="Beige"/>
    <n v="2"/>
    <n v="22000"/>
    <n v="15"/>
    <x v="74"/>
    <n v="28000"/>
    <n v="9400"/>
    <x v="0"/>
    <s v="Ella"/>
  </r>
  <r>
    <s v="ORD1247"/>
    <x v="184"/>
    <x v="1"/>
    <x v="1"/>
    <n v="41"/>
    <x v="0"/>
    <x v="4"/>
    <x v="9"/>
    <s v="XL"/>
    <s v="Black"/>
    <n v="1"/>
    <n v="25000"/>
    <n v="0"/>
    <x v="76"/>
    <n v="17000"/>
    <n v="8000"/>
    <x v="2"/>
    <s v="Tobi"/>
  </r>
  <r>
    <s v="ORD1248"/>
    <x v="116"/>
    <x v="12"/>
    <x v="1"/>
    <n v="37"/>
    <x v="0"/>
    <x v="0"/>
    <x v="0"/>
    <s v="S"/>
    <s v="White"/>
    <n v="4"/>
    <n v="15000"/>
    <n v="10"/>
    <x v="6"/>
    <n v="36000"/>
    <n v="18000"/>
    <x v="2"/>
    <s v="Ella"/>
  </r>
  <r>
    <s v="ORD1249"/>
    <x v="185"/>
    <x v="2"/>
    <x v="1"/>
    <n v="38"/>
    <x v="4"/>
    <x v="3"/>
    <x v="3"/>
    <s v="M"/>
    <s v="Pink"/>
    <n v="3"/>
    <n v="16000"/>
    <n v="0"/>
    <x v="30"/>
    <n v="30000"/>
    <n v="18000"/>
    <x v="1"/>
    <s v="Chi"/>
  </r>
  <r>
    <s v="ORD1250"/>
    <x v="36"/>
    <x v="12"/>
    <x v="0"/>
    <n v="37"/>
    <x v="2"/>
    <x v="2"/>
    <x v="2"/>
    <s v="L"/>
    <s v="Blue"/>
    <n v="4"/>
    <n v="20000"/>
    <n v="10"/>
    <x v="13"/>
    <n v="48000"/>
    <n v="24000"/>
    <x v="1"/>
    <s v="Maya"/>
  </r>
  <r>
    <s v="ORD1251"/>
    <x v="130"/>
    <x v="7"/>
    <x v="1"/>
    <n v="24"/>
    <x v="2"/>
    <x v="3"/>
    <x v="3"/>
    <s v="XL"/>
    <s v="Pink"/>
    <n v="3"/>
    <n v="16000"/>
    <n v="15"/>
    <x v="38"/>
    <n v="30000"/>
    <n v="10800"/>
    <x v="2"/>
    <s v="Tobi"/>
  </r>
  <r>
    <s v="ORD1252"/>
    <x v="77"/>
    <x v="2"/>
    <x v="0"/>
    <n v="18"/>
    <x v="3"/>
    <x v="1"/>
    <x v="8"/>
    <s v="XL"/>
    <s v="Pink"/>
    <n v="1"/>
    <n v="10000"/>
    <n v="0"/>
    <x v="83"/>
    <n v="6000"/>
    <n v="4000"/>
    <x v="2"/>
    <s v="Chi"/>
  </r>
  <r>
    <s v="ORD1253"/>
    <x v="57"/>
    <x v="1"/>
    <x v="1"/>
    <n v="53"/>
    <x v="1"/>
    <x v="3"/>
    <x v="3"/>
    <s v="S"/>
    <s v="Pink"/>
    <n v="2"/>
    <n v="16000"/>
    <n v="15"/>
    <x v="65"/>
    <n v="20000"/>
    <n v="7200"/>
    <x v="2"/>
    <s v="Tobi"/>
  </r>
  <r>
    <s v="ORD1254"/>
    <x v="186"/>
    <x v="6"/>
    <x v="1"/>
    <n v="43"/>
    <x v="0"/>
    <x v="1"/>
    <x v="8"/>
    <s v="XL"/>
    <s v="White"/>
    <n v="1"/>
    <n v="10000"/>
    <n v="15"/>
    <x v="46"/>
    <n v="6000"/>
    <n v="2500"/>
    <x v="0"/>
    <s v="Chi"/>
  </r>
  <r>
    <s v="ORD1255"/>
    <x v="187"/>
    <x v="0"/>
    <x v="1"/>
    <n v="45"/>
    <x v="4"/>
    <x v="0"/>
    <x v="7"/>
    <s v="M"/>
    <s v="Blue"/>
    <n v="4"/>
    <n v="18000"/>
    <n v="5"/>
    <x v="84"/>
    <n v="44000"/>
    <n v="24400"/>
    <x v="2"/>
    <s v="Chi"/>
  </r>
  <r>
    <s v="ORD1256"/>
    <x v="123"/>
    <x v="8"/>
    <x v="0"/>
    <n v="51"/>
    <x v="2"/>
    <x v="4"/>
    <x v="9"/>
    <s v="M"/>
    <s v="Red"/>
    <n v="4"/>
    <n v="25000"/>
    <n v="0"/>
    <x v="66"/>
    <n v="68000"/>
    <n v="32000"/>
    <x v="1"/>
    <s v="Ella"/>
  </r>
  <r>
    <s v="ORD1257"/>
    <x v="188"/>
    <x v="5"/>
    <x v="1"/>
    <n v="39"/>
    <x v="1"/>
    <x v="3"/>
    <x v="4"/>
    <s v="XL"/>
    <s v="White"/>
    <n v="3"/>
    <n v="14000"/>
    <n v="0"/>
    <x v="54"/>
    <n v="25500"/>
    <n v="16500"/>
    <x v="0"/>
    <s v="Chi"/>
  </r>
  <r>
    <s v="ORD1258"/>
    <x v="189"/>
    <x v="2"/>
    <x v="1"/>
    <n v="37"/>
    <x v="0"/>
    <x v="0"/>
    <x v="0"/>
    <s v="S"/>
    <s v="Beige"/>
    <n v="4"/>
    <n v="15000"/>
    <n v="15"/>
    <x v="8"/>
    <n v="36000"/>
    <n v="15000"/>
    <x v="2"/>
    <s v="Ella"/>
  </r>
  <r>
    <s v="ORD1259"/>
    <x v="86"/>
    <x v="7"/>
    <x v="1"/>
    <n v="44"/>
    <x v="3"/>
    <x v="0"/>
    <x v="7"/>
    <s v="M"/>
    <s v="Beige"/>
    <n v="2"/>
    <n v="18000"/>
    <n v="0"/>
    <x v="3"/>
    <n v="22000"/>
    <n v="14000"/>
    <x v="1"/>
    <s v="Chi"/>
  </r>
  <r>
    <s v="ORD1260"/>
    <x v="190"/>
    <x v="11"/>
    <x v="1"/>
    <n v="40"/>
    <x v="0"/>
    <x v="3"/>
    <x v="4"/>
    <s v="XL"/>
    <s v="Red"/>
    <n v="4"/>
    <n v="14000"/>
    <n v="5"/>
    <x v="92"/>
    <n v="34000"/>
    <n v="19200"/>
    <x v="0"/>
    <s v="Chi"/>
  </r>
  <r>
    <s v="ORD1261"/>
    <x v="191"/>
    <x v="7"/>
    <x v="0"/>
    <n v="32"/>
    <x v="3"/>
    <x v="4"/>
    <x v="6"/>
    <s v="XL"/>
    <s v="Pink"/>
    <n v="3"/>
    <n v="22000"/>
    <n v="5"/>
    <x v="97"/>
    <n v="42000"/>
    <n v="20700"/>
    <x v="0"/>
    <s v="Ella"/>
  </r>
  <r>
    <s v="ORD1262"/>
    <x v="192"/>
    <x v="9"/>
    <x v="1"/>
    <n v="40"/>
    <x v="0"/>
    <x v="4"/>
    <x v="6"/>
    <s v="XL"/>
    <s v="Beige"/>
    <n v="3"/>
    <n v="22000"/>
    <n v="0"/>
    <x v="98"/>
    <n v="42000"/>
    <n v="24000"/>
    <x v="1"/>
    <s v="Tobi"/>
  </r>
  <r>
    <s v="ORD1263"/>
    <x v="92"/>
    <x v="3"/>
    <x v="0"/>
    <n v="31"/>
    <x v="3"/>
    <x v="2"/>
    <x v="5"/>
    <s v="L"/>
    <s v="Red"/>
    <n v="3"/>
    <n v="15000"/>
    <n v="0"/>
    <x v="53"/>
    <n v="27000"/>
    <n v="18000"/>
    <x v="0"/>
    <s v="Ella"/>
  </r>
  <r>
    <s v="ORD1264"/>
    <x v="54"/>
    <x v="4"/>
    <x v="1"/>
    <n v="28"/>
    <x v="3"/>
    <x v="4"/>
    <x v="6"/>
    <s v="XL"/>
    <s v="Red"/>
    <n v="2"/>
    <n v="22000"/>
    <n v="0"/>
    <x v="25"/>
    <n v="28000"/>
    <n v="16000"/>
    <x v="0"/>
    <s v="Maya"/>
  </r>
  <r>
    <s v="ORD1265"/>
    <x v="193"/>
    <x v="2"/>
    <x v="0"/>
    <n v="49"/>
    <x v="3"/>
    <x v="4"/>
    <x v="9"/>
    <s v="L"/>
    <s v="White"/>
    <n v="2"/>
    <n v="25000"/>
    <n v="10"/>
    <x v="53"/>
    <n v="34000"/>
    <n v="11000"/>
    <x v="1"/>
    <s v="Ella"/>
  </r>
  <r>
    <s v="ORD1266"/>
    <x v="194"/>
    <x v="12"/>
    <x v="0"/>
    <n v="24"/>
    <x v="1"/>
    <x v="1"/>
    <x v="1"/>
    <s v="XL"/>
    <s v="White"/>
    <n v="2"/>
    <n v="8000"/>
    <n v="5"/>
    <x v="31"/>
    <n v="9000"/>
    <n v="6200"/>
    <x v="2"/>
    <s v="Maya"/>
  </r>
  <r>
    <s v="ORD1267"/>
    <x v="195"/>
    <x v="6"/>
    <x v="0"/>
    <n v="21"/>
    <x v="0"/>
    <x v="1"/>
    <x v="8"/>
    <s v="S"/>
    <s v="Blue"/>
    <n v="2"/>
    <n v="10000"/>
    <n v="5"/>
    <x v="80"/>
    <n v="12000"/>
    <n v="7000"/>
    <x v="1"/>
    <s v="Tobi"/>
  </r>
  <r>
    <s v="ORD1268"/>
    <x v="84"/>
    <x v="9"/>
    <x v="0"/>
    <n v="36"/>
    <x v="3"/>
    <x v="0"/>
    <x v="7"/>
    <s v="XL"/>
    <s v="Black"/>
    <n v="2"/>
    <n v="18000"/>
    <n v="5"/>
    <x v="42"/>
    <n v="22000"/>
    <n v="12200"/>
    <x v="1"/>
    <s v="Tobi"/>
  </r>
  <r>
    <s v="ORD1269"/>
    <x v="196"/>
    <x v="6"/>
    <x v="1"/>
    <n v="52"/>
    <x v="4"/>
    <x v="0"/>
    <x v="7"/>
    <s v="S"/>
    <s v="Black"/>
    <n v="2"/>
    <n v="18000"/>
    <n v="15"/>
    <x v="55"/>
    <n v="22000"/>
    <n v="8600"/>
    <x v="0"/>
    <s v="Maya"/>
  </r>
  <r>
    <s v="ORD1270"/>
    <x v="197"/>
    <x v="4"/>
    <x v="0"/>
    <n v="52"/>
    <x v="3"/>
    <x v="3"/>
    <x v="3"/>
    <s v="XL"/>
    <s v="Black"/>
    <n v="2"/>
    <n v="16000"/>
    <n v="15"/>
    <x v="65"/>
    <n v="20000"/>
    <n v="7200"/>
    <x v="1"/>
    <s v="Ella"/>
  </r>
  <r>
    <s v="ORD1271"/>
    <x v="23"/>
    <x v="9"/>
    <x v="0"/>
    <n v="20"/>
    <x v="4"/>
    <x v="0"/>
    <x v="0"/>
    <s v="M"/>
    <s v="White"/>
    <n v="2"/>
    <n v="15000"/>
    <n v="15"/>
    <x v="82"/>
    <n v="18000"/>
    <n v="7500"/>
    <x v="2"/>
    <s v="Ella"/>
  </r>
  <r>
    <s v="ORD1272"/>
    <x v="20"/>
    <x v="8"/>
    <x v="1"/>
    <n v="25"/>
    <x v="0"/>
    <x v="0"/>
    <x v="0"/>
    <s v="S"/>
    <s v="Red"/>
    <n v="4"/>
    <n v="15000"/>
    <n v="5"/>
    <x v="1"/>
    <n v="36000"/>
    <n v="21000"/>
    <x v="2"/>
    <s v="Maya"/>
  </r>
  <r>
    <s v="ORD1273"/>
    <x v="198"/>
    <x v="5"/>
    <x v="0"/>
    <n v="31"/>
    <x v="4"/>
    <x v="1"/>
    <x v="1"/>
    <s v="M"/>
    <s v="White"/>
    <n v="3"/>
    <n v="8000"/>
    <n v="15"/>
    <x v="59"/>
    <n v="13500"/>
    <n v="6900"/>
    <x v="1"/>
    <s v="Chi"/>
  </r>
  <r>
    <s v="ORD1274"/>
    <x v="199"/>
    <x v="7"/>
    <x v="1"/>
    <n v="19"/>
    <x v="4"/>
    <x v="0"/>
    <x v="7"/>
    <s v="M"/>
    <s v="Black"/>
    <n v="3"/>
    <n v="18000"/>
    <n v="5"/>
    <x v="11"/>
    <n v="33000"/>
    <n v="18300"/>
    <x v="2"/>
    <s v="Ella"/>
  </r>
  <r>
    <s v="ORD1275"/>
    <x v="69"/>
    <x v="2"/>
    <x v="0"/>
    <n v="25"/>
    <x v="2"/>
    <x v="2"/>
    <x v="5"/>
    <s v="S"/>
    <s v="Beige"/>
    <n v="1"/>
    <n v="15000"/>
    <n v="0"/>
    <x v="35"/>
    <n v="9000"/>
    <n v="6000"/>
    <x v="0"/>
    <s v="Maya"/>
  </r>
  <r>
    <s v="ORD1276"/>
    <x v="200"/>
    <x v="0"/>
    <x v="1"/>
    <n v="39"/>
    <x v="4"/>
    <x v="1"/>
    <x v="1"/>
    <s v="L"/>
    <s v="Beige"/>
    <n v="3"/>
    <n v="8000"/>
    <n v="10"/>
    <x v="79"/>
    <n v="13500"/>
    <n v="8100"/>
    <x v="1"/>
    <s v="Maya"/>
  </r>
  <r>
    <s v="ORD1277"/>
    <x v="28"/>
    <x v="12"/>
    <x v="0"/>
    <n v="27"/>
    <x v="1"/>
    <x v="3"/>
    <x v="3"/>
    <s v="XL"/>
    <s v="Black"/>
    <n v="1"/>
    <n v="16000"/>
    <n v="10"/>
    <x v="78"/>
    <n v="10000"/>
    <n v="4400"/>
    <x v="0"/>
    <s v="Chi"/>
  </r>
  <r>
    <s v="ORD1278"/>
    <x v="201"/>
    <x v="9"/>
    <x v="1"/>
    <n v="50"/>
    <x v="2"/>
    <x v="3"/>
    <x v="4"/>
    <s v="L"/>
    <s v="Red"/>
    <n v="2"/>
    <n v="14000"/>
    <n v="0"/>
    <x v="37"/>
    <n v="17000"/>
    <n v="11000"/>
    <x v="1"/>
    <s v="Maya"/>
  </r>
  <r>
    <s v="ORD1279"/>
    <x v="37"/>
    <x v="9"/>
    <x v="0"/>
    <n v="32"/>
    <x v="3"/>
    <x v="2"/>
    <x v="2"/>
    <s v="M"/>
    <s v="Pink"/>
    <n v="4"/>
    <n v="20000"/>
    <n v="15"/>
    <x v="99"/>
    <n v="48000"/>
    <n v="20000"/>
    <x v="1"/>
    <s v="Tobi"/>
  </r>
  <r>
    <s v="ORD1280"/>
    <x v="39"/>
    <x v="4"/>
    <x v="1"/>
    <n v="55"/>
    <x v="4"/>
    <x v="0"/>
    <x v="0"/>
    <s v="M"/>
    <s v="Black"/>
    <n v="2"/>
    <n v="15000"/>
    <n v="5"/>
    <x v="21"/>
    <n v="18000"/>
    <n v="10500"/>
    <x v="2"/>
    <s v="Ella"/>
  </r>
  <r>
    <s v="ORD1281"/>
    <x v="202"/>
    <x v="2"/>
    <x v="0"/>
    <n v="22"/>
    <x v="0"/>
    <x v="3"/>
    <x v="4"/>
    <s v="M"/>
    <s v="White"/>
    <n v="1"/>
    <n v="14000"/>
    <n v="0"/>
    <x v="71"/>
    <n v="8500"/>
    <n v="5500"/>
    <x v="0"/>
    <s v="Tobi"/>
  </r>
  <r>
    <s v="ORD1282"/>
    <x v="203"/>
    <x v="1"/>
    <x v="1"/>
    <n v="38"/>
    <x v="0"/>
    <x v="2"/>
    <x v="5"/>
    <s v="M"/>
    <s v="White"/>
    <n v="1"/>
    <n v="15000"/>
    <n v="10"/>
    <x v="0"/>
    <n v="9000"/>
    <n v="4500"/>
    <x v="2"/>
    <s v="Tobi"/>
  </r>
  <r>
    <s v="ORD1283"/>
    <x v="204"/>
    <x v="5"/>
    <x v="1"/>
    <n v="32"/>
    <x v="0"/>
    <x v="0"/>
    <x v="7"/>
    <s v="L"/>
    <s v="Pink"/>
    <n v="1"/>
    <n v="18000"/>
    <n v="5"/>
    <x v="75"/>
    <n v="11000"/>
    <n v="6100"/>
    <x v="1"/>
    <s v="Maya"/>
  </r>
  <r>
    <s v="ORD1284"/>
    <x v="205"/>
    <x v="11"/>
    <x v="1"/>
    <n v="30"/>
    <x v="0"/>
    <x v="2"/>
    <x v="2"/>
    <s v="S"/>
    <s v="Beige"/>
    <n v="4"/>
    <n v="20000"/>
    <n v="5"/>
    <x v="67"/>
    <n v="48000"/>
    <n v="28000"/>
    <x v="0"/>
    <s v="Chi"/>
  </r>
  <r>
    <s v="ORD1285"/>
    <x v="37"/>
    <x v="8"/>
    <x v="0"/>
    <n v="51"/>
    <x v="0"/>
    <x v="1"/>
    <x v="8"/>
    <s v="M"/>
    <s v="White"/>
    <n v="4"/>
    <n v="10000"/>
    <n v="5"/>
    <x v="62"/>
    <n v="24000"/>
    <n v="14000"/>
    <x v="2"/>
    <s v="Chi"/>
  </r>
  <r>
    <s v="ORD1286"/>
    <x v="175"/>
    <x v="7"/>
    <x v="1"/>
    <n v="26"/>
    <x v="2"/>
    <x v="3"/>
    <x v="3"/>
    <s v="XL"/>
    <s v="Beige"/>
    <n v="1"/>
    <n v="16000"/>
    <n v="10"/>
    <x v="78"/>
    <n v="10000"/>
    <n v="4400"/>
    <x v="0"/>
    <s v="Tobi"/>
  </r>
  <r>
    <s v="ORD1287"/>
    <x v="23"/>
    <x v="6"/>
    <x v="1"/>
    <n v="25"/>
    <x v="2"/>
    <x v="0"/>
    <x v="7"/>
    <s v="M"/>
    <s v="White"/>
    <n v="3"/>
    <n v="18000"/>
    <n v="0"/>
    <x v="6"/>
    <n v="33000"/>
    <n v="21000"/>
    <x v="2"/>
    <s v="Ella"/>
  </r>
  <r>
    <s v="ORD1288"/>
    <x v="163"/>
    <x v="11"/>
    <x v="0"/>
    <n v="30"/>
    <x v="1"/>
    <x v="2"/>
    <x v="5"/>
    <s v="M"/>
    <s v="Blue"/>
    <n v="1"/>
    <n v="15000"/>
    <n v="10"/>
    <x v="0"/>
    <n v="9000"/>
    <n v="4500"/>
    <x v="2"/>
    <s v="Ella"/>
  </r>
  <r>
    <s v="ORD1289"/>
    <x v="5"/>
    <x v="0"/>
    <x v="1"/>
    <n v="53"/>
    <x v="0"/>
    <x v="3"/>
    <x v="3"/>
    <s v="S"/>
    <s v="Beige"/>
    <n v="3"/>
    <n v="16000"/>
    <n v="10"/>
    <x v="4"/>
    <n v="30000"/>
    <n v="13200"/>
    <x v="2"/>
    <s v="Chi"/>
  </r>
  <r>
    <s v="ORD1290"/>
    <x v="206"/>
    <x v="10"/>
    <x v="0"/>
    <n v="55"/>
    <x v="4"/>
    <x v="0"/>
    <x v="7"/>
    <s v="M"/>
    <s v="Pink"/>
    <n v="3"/>
    <n v="18000"/>
    <n v="0"/>
    <x v="6"/>
    <n v="33000"/>
    <n v="21000"/>
    <x v="0"/>
    <s v="Tobi"/>
  </r>
  <r>
    <s v="ORD1291"/>
    <x v="207"/>
    <x v="4"/>
    <x v="0"/>
    <n v="21"/>
    <x v="4"/>
    <x v="0"/>
    <x v="7"/>
    <s v="M"/>
    <s v="White"/>
    <n v="2"/>
    <n v="18000"/>
    <n v="15"/>
    <x v="55"/>
    <n v="22000"/>
    <n v="8600"/>
    <x v="2"/>
    <s v="Maya"/>
  </r>
  <r>
    <s v="ORD1292"/>
    <x v="108"/>
    <x v="2"/>
    <x v="1"/>
    <n v="34"/>
    <x v="3"/>
    <x v="4"/>
    <x v="6"/>
    <s v="L"/>
    <s v="White"/>
    <n v="3"/>
    <n v="22000"/>
    <n v="0"/>
    <x v="98"/>
    <n v="42000"/>
    <n v="24000"/>
    <x v="2"/>
    <s v="Ella"/>
  </r>
  <r>
    <s v="ORD1293"/>
    <x v="208"/>
    <x v="1"/>
    <x v="0"/>
    <n v="39"/>
    <x v="4"/>
    <x v="0"/>
    <x v="0"/>
    <s v="S"/>
    <s v="Black"/>
    <n v="3"/>
    <n v="15000"/>
    <n v="10"/>
    <x v="90"/>
    <n v="27000"/>
    <n v="13500"/>
    <x v="1"/>
    <s v="Tobi"/>
  </r>
  <r>
    <s v="ORD1294"/>
    <x v="209"/>
    <x v="7"/>
    <x v="0"/>
    <n v="45"/>
    <x v="0"/>
    <x v="4"/>
    <x v="6"/>
    <s v="L"/>
    <s v="White"/>
    <n v="1"/>
    <n v="22000"/>
    <n v="15"/>
    <x v="23"/>
    <n v="14000"/>
    <n v="4700"/>
    <x v="2"/>
    <s v="Ella"/>
  </r>
  <r>
    <s v="ORD1295"/>
    <x v="200"/>
    <x v="5"/>
    <x v="0"/>
    <n v="31"/>
    <x v="4"/>
    <x v="2"/>
    <x v="2"/>
    <s v="L"/>
    <s v="Beige"/>
    <n v="3"/>
    <n v="20000"/>
    <n v="15"/>
    <x v="8"/>
    <n v="36000"/>
    <n v="15000"/>
    <x v="1"/>
    <s v="Chi"/>
  </r>
  <r>
    <s v="ORD1296"/>
    <x v="154"/>
    <x v="11"/>
    <x v="0"/>
    <n v="33"/>
    <x v="1"/>
    <x v="2"/>
    <x v="2"/>
    <s v="L"/>
    <s v="Blue"/>
    <n v="1"/>
    <n v="20000"/>
    <n v="0"/>
    <x v="32"/>
    <n v="12000"/>
    <n v="8000"/>
    <x v="1"/>
    <s v="Maya"/>
  </r>
  <r>
    <s v="ORD1297"/>
    <x v="210"/>
    <x v="3"/>
    <x v="1"/>
    <n v="27"/>
    <x v="3"/>
    <x v="1"/>
    <x v="1"/>
    <s v="XL"/>
    <s v="Pink"/>
    <n v="3"/>
    <n v="8000"/>
    <n v="15"/>
    <x v="59"/>
    <n v="13500"/>
    <n v="6900"/>
    <x v="2"/>
    <s v="Chi"/>
  </r>
  <r>
    <s v="ORD1298"/>
    <x v="211"/>
    <x v="4"/>
    <x v="1"/>
    <n v="29"/>
    <x v="4"/>
    <x v="3"/>
    <x v="3"/>
    <s v="L"/>
    <s v="Pink"/>
    <n v="2"/>
    <n v="16000"/>
    <n v="0"/>
    <x v="50"/>
    <n v="20000"/>
    <n v="12000"/>
    <x v="1"/>
    <s v="Chi"/>
  </r>
  <r>
    <s v="ORD1299"/>
    <x v="142"/>
    <x v="12"/>
    <x v="1"/>
    <n v="19"/>
    <x v="1"/>
    <x v="2"/>
    <x v="5"/>
    <s v="S"/>
    <s v="White"/>
    <n v="1"/>
    <n v="15000"/>
    <n v="10"/>
    <x v="0"/>
    <n v="9000"/>
    <n v="4500"/>
    <x v="0"/>
    <s v="Ella"/>
  </r>
  <r>
    <s v="ORD1300"/>
    <x v="148"/>
    <x v="1"/>
    <x v="1"/>
    <n v="21"/>
    <x v="3"/>
    <x v="4"/>
    <x v="6"/>
    <s v="L"/>
    <s v="Beige"/>
    <n v="1"/>
    <n v="22000"/>
    <n v="15"/>
    <x v="23"/>
    <n v="14000"/>
    <n v="4700"/>
    <x v="2"/>
    <s v="Tobi"/>
  </r>
  <r>
    <s v="ORD1301"/>
    <x v="11"/>
    <x v="10"/>
    <x v="1"/>
    <n v="54"/>
    <x v="4"/>
    <x v="4"/>
    <x v="9"/>
    <s v="S"/>
    <s v="Red"/>
    <n v="1"/>
    <n v="25000"/>
    <n v="10"/>
    <x v="100"/>
    <n v="17000"/>
    <n v="5500"/>
    <x v="1"/>
    <s v="May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0D15D-BBDA-4DF5-8A79-03F022ABC0D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13" baseField="0" baseItem="0" numFmtId="166"/>
  </dataFields>
  <formats count="5">
    <format dxfId="40">
      <pivotArea outline="0" collapsedLevelsAreSubtotals="1" fieldPosition="0"/>
    </format>
    <format dxfId="39">
      <pivotArea dataOnly="0" labelOnly="1" outline="0" axis="axisValues" fieldPosition="0"/>
    </format>
    <format dxfId="38">
      <pivotArea dataOnly="0" outline="0" axis="axisValues" fieldPosition="0"/>
    </format>
    <format dxfId="37">
      <pivotArea outline="0" collapsedLevelsAreSubtotals="1" fieldPosition="0"/>
    </format>
    <format dxfId="36">
      <pivotArea outline="0" fieldPosition="0">
        <references count="1">
          <reference field="4294967294" count="1">
            <x v="0"/>
          </reference>
        </references>
      </pivotArea>
    </format>
  </formats>
  <pivotTableStyleInfo name="PivotStyleLight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A5513B-8430-4C7E-B239-2604A9F8DC7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5" baseField="0" baseItem="0" numFmtId="166"/>
  </dataFields>
  <formats count="4">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EDD1AD-7552-4E16-BF16-D474B587CE8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8">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3C3FEB-6614-433F-B249-68E97090E28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6">
        <item x="3"/>
        <item x="0"/>
        <item x="2"/>
        <item x="4"/>
        <item x="1"/>
        <item t="default"/>
      </items>
    </pivotField>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4">
        <item x="2"/>
        <item x="0"/>
        <item x="1"/>
        <item t="default"/>
      </items>
    </pivotField>
    <pivotField showAll="0"/>
  </pivotFields>
  <rowFields count="1">
    <field x="6"/>
  </rowFields>
  <rowItems count="6">
    <i>
      <x v="2"/>
    </i>
    <i>
      <x v="1"/>
    </i>
    <i>
      <x/>
    </i>
    <i>
      <x v="4"/>
    </i>
    <i>
      <x v="3"/>
    </i>
    <i t="grand">
      <x/>
    </i>
  </rowItems>
  <colItems count="1">
    <i/>
  </colItems>
  <dataFields count="1">
    <dataField name="Sum of Sales" fld="13" baseField="0" baseItem="0" numFmtId="166"/>
  </dataFields>
  <formats count="3">
    <format dxfId="31">
      <pivotArea outline="0" collapsedLevelsAreSubtotals="1" fieldPosition="0"/>
    </format>
    <format dxfId="30">
      <pivotArea dataOnly="0" labelOnly="1" outline="0" axis="axisValues" fieldPosition="0"/>
    </format>
    <format dxfId="29">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BE3225-93A0-497E-AC4A-21CD61B85D1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8">
    <pivotField showAll="0"/>
    <pivotField numFmtId="164" showAll="0">
      <items count="15">
        <item x="0"/>
        <item x="1"/>
        <item x="2"/>
        <item x="3"/>
        <item x="4"/>
        <item x="5"/>
        <item x="6"/>
        <item x="7"/>
        <item x="8"/>
        <item x="9"/>
        <item x="10"/>
        <item x="11"/>
        <item x="12"/>
        <item x="13"/>
        <item t="default"/>
      </items>
    </pivotField>
    <pivotField dataField="1" showAll="0">
      <items count="14">
        <item x="12"/>
        <item x="6"/>
        <item x="5"/>
        <item x="9"/>
        <item x="11"/>
        <item x="2"/>
        <item x="7"/>
        <item x="0"/>
        <item x="4"/>
        <item x="8"/>
        <item x="1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FB6B5E-AF98-47D2-9297-4E11CF6870E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6">
        <item x="2"/>
        <item x="0"/>
        <item x="4"/>
        <item x="1"/>
        <item x="3"/>
        <item t="default"/>
      </items>
    </pivotField>
    <pivotField showAll="0"/>
    <pivotField showAll="0"/>
    <pivotField showAll="0"/>
    <pivotField showAll="0"/>
    <pivotField showAll="0"/>
    <pivotField showAll="0"/>
    <pivotField dataField="1" showAll="0"/>
    <pivotField showAll="0"/>
    <pivotField showAll="0"/>
    <pivotField showAll="0">
      <items count="4">
        <item x="2"/>
        <item x="0"/>
        <item x="1"/>
        <item t="default"/>
      </items>
    </pivotField>
    <pivotField showAll="0"/>
  </pivotFields>
  <rowFields count="1">
    <field x="5"/>
  </rowFields>
  <rowItems count="6">
    <i>
      <x v="1"/>
    </i>
    <i>
      <x/>
    </i>
    <i>
      <x v="3"/>
    </i>
    <i>
      <x v="4"/>
    </i>
    <i>
      <x v="2"/>
    </i>
    <i t="grand">
      <x/>
    </i>
  </rowItems>
  <colItems count="1">
    <i/>
  </colItems>
  <dataFields count="1">
    <dataField name="Sum of Sales" fld="13" baseField="0" baseItem="0" numFmtId="166"/>
  </dataFields>
  <formats count="3">
    <format dxfId="28">
      <pivotArea outline="0" collapsedLevelsAreSubtotals="1" fieldPosition="0"/>
    </format>
    <format dxfId="27">
      <pivotArea dataOnly="0" labelOnly="1" outline="0" axis="axisValues" fieldPosition="0"/>
    </format>
    <format dxfId="26">
      <pivotArea outline="0" fieldPosition="0">
        <references count="1">
          <reference field="4294967294" count="1">
            <x v="0"/>
          </reference>
        </references>
      </pivotArea>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1CF13D-6B4F-4C67-89A0-ED33DD6AB83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1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6">
        <item x="3"/>
        <item x="0"/>
        <item x="2"/>
        <item x="4"/>
        <item x="1"/>
        <item t="default"/>
      </items>
    </pivotField>
    <pivotField showAll="0">
      <items count="6">
        <item x="2"/>
        <item x="0"/>
        <item x="4"/>
        <item x="1"/>
        <item x="3"/>
        <item t="default"/>
      </items>
    </pivotField>
    <pivotField axis="axisRow" showAll="0" measureFilter="1" sortType="descending">
      <items count="11">
        <item x="8"/>
        <item x="0"/>
        <item x="1"/>
        <item x="2"/>
        <item x="6"/>
        <item x="3"/>
        <item x="7"/>
        <item x="4"/>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4">
        <item x="2"/>
        <item x="0"/>
        <item x="1"/>
        <item t="default"/>
      </items>
    </pivotField>
    <pivotField showAll="0"/>
  </pivotFields>
  <rowFields count="1">
    <field x="7"/>
  </rowFields>
  <rowItems count="11">
    <i>
      <x v="4"/>
    </i>
    <i>
      <x v="8"/>
    </i>
    <i>
      <x v="6"/>
    </i>
    <i>
      <x v="3"/>
    </i>
    <i>
      <x v="5"/>
    </i>
    <i>
      <x v="1"/>
    </i>
    <i>
      <x v="7"/>
    </i>
    <i>
      <x v="9"/>
    </i>
    <i>
      <x v="2"/>
    </i>
    <i>
      <x/>
    </i>
    <i t="grand">
      <x/>
    </i>
  </rowItems>
  <colItems count="1">
    <i/>
  </colItems>
  <dataFields count="1">
    <dataField name="Sum of Sales" fld="13" baseField="0" baseItem="0" numFmtId="166"/>
  </dataFields>
  <formats count="3">
    <format dxfId="25">
      <pivotArea outline="0" collapsedLevelsAreSubtotals="1" fieldPosition="0"/>
    </format>
    <format dxfId="24">
      <pivotArea dataOnly="0" labelOnly="1" outline="0" axis="axisValues" fieldPosition="0"/>
    </format>
    <format dxfId="23">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7F1EB-CC88-400C-B29D-D19B17BA1C6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8">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6">
        <item x="3"/>
        <item x="0"/>
        <item x="2"/>
        <item x="4"/>
        <item x="1"/>
        <item t="default"/>
      </items>
    </pivotField>
    <pivotField showAll="0">
      <items count="6">
        <item x="2"/>
        <item x="0"/>
        <item x="4"/>
        <item x="1"/>
        <item x="3"/>
        <item t="default"/>
      </items>
    </pivotField>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16"/>
  </rowFields>
  <rowItems count="4">
    <i>
      <x/>
    </i>
    <i>
      <x v="1"/>
    </i>
    <i>
      <x v="2"/>
    </i>
    <i t="grand">
      <x/>
    </i>
  </rowItems>
  <colItems count="1">
    <i/>
  </colItems>
  <dataFields count="1">
    <dataField name="Count of Ord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6" count="1" selected="0">
            <x v="0"/>
          </reference>
        </references>
      </pivotArea>
    </chartFormat>
    <chartFormat chart="2" format="10">
      <pivotArea type="data" outline="0" fieldPosition="0">
        <references count="2">
          <reference field="4294967294" count="1" selected="0">
            <x v="0"/>
          </reference>
          <reference field="16" count="1" selected="0">
            <x v="1"/>
          </reference>
        </references>
      </pivotArea>
    </chartFormat>
    <chartFormat chart="2"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DAE33B-B836-46FE-B459-12D19A5E705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6" firstHeaderRow="1" firstDataRow="1" firstDataCol="1"/>
  <pivotFields count="18">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6">
        <item x="3"/>
        <item x="0"/>
        <item x="2"/>
        <item x="4"/>
        <item x="1"/>
        <item t="default"/>
      </items>
    </pivotField>
    <pivotField showAll="0">
      <items count="6">
        <item x="2"/>
        <item x="0"/>
        <item x="4"/>
        <item x="1"/>
        <item x="3"/>
        <item t="default"/>
      </items>
    </pivotField>
    <pivotField showAll="0"/>
    <pivotField showAll="0"/>
    <pivotField showAll="0"/>
    <pivotField showAll="0"/>
    <pivotField showAll="0"/>
    <pivotField showAll="0"/>
    <pivotField dataField="1" showAll="0">
      <items count="102">
        <item x="2"/>
        <item x="58"/>
        <item x="61"/>
        <item x="46"/>
        <item x="95"/>
        <item x="83"/>
        <item x="68"/>
        <item x="43"/>
        <item x="45"/>
        <item x="27"/>
        <item x="0"/>
        <item x="96"/>
        <item x="71"/>
        <item x="28"/>
        <item x="78"/>
        <item x="35"/>
        <item x="31"/>
        <item x="88"/>
        <item x="48"/>
        <item x="9"/>
        <item x="75"/>
        <item x="19"/>
        <item x="23"/>
        <item x="80"/>
        <item x="36"/>
        <item x="32"/>
        <item x="59"/>
        <item x="57"/>
        <item x="34"/>
        <item x="79"/>
        <item x="47"/>
        <item x="100"/>
        <item x="7"/>
        <item x="39"/>
        <item x="5"/>
        <item x="81"/>
        <item x="76"/>
        <item x="82"/>
        <item x="91"/>
        <item x="49"/>
        <item x="65"/>
        <item x="37"/>
        <item x="21"/>
        <item x="69"/>
        <item x="12"/>
        <item x="22"/>
        <item x="55"/>
        <item x="50"/>
        <item x="42"/>
        <item x="70"/>
        <item x="3"/>
        <item x="74"/>
        <item x="17"/>
        <item x="62"/>
        <item x="52"/>
        <item x="14"/>
        <item x="44"/>
        <item x="90"/>
        <item x="38"/>
        <item x="54"/>
        <item x="41"/>
        <item x="4"/>
        <item x="25"/>
        <item x="53"/>
        <item x="64"/>
        <item x="15"/>
        <item x="30"/>
        <item x="60"/>
        <item x="33"/>
        <item x="72"/>
        <item x="8"/>
        <item x="11"/>
        <item x="92"/>
        <item x="6"/>
        <item x="63"/>
        <item x="77"/>
        <item x="16"/>
        <item x="1"/>
        <item x="94"/>
        <item x="24"/>
        <item x="87"/>
        <item x="93"/>
        <item x="18"/>
        <item x="97"/>
        <item x="29"/>
        <item x="85"/>
        <item x="98"/>
        <item x="26"/>
        <item x="99"/>
        <item x="84"/>
        <item x="13"/>
        <item x="51"/>
        <item x="67"/>
        <item x="20"/>
        <item x="73"/>
        <item x="56"/>
        <item x="40"/>
        <item x="10"/>
        <item x="89"/>
        <item x="86"/>
        <item x="66"/>
        <item t="default"/>
      </items>
    </pivotField>
    <pivotField showAll="0"/>
    <pivotField showAll="0"/>
    <pivotField showAll="0">
      <items count="4">
        <item x="2"/>
        <item x="0"/>
        <item x="1"/>
        <item t="default"/>
      </items>
    </pivotField>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Sales" fld="13" baseField="0" baseItem="0" numFmtId="166"/>
  </dataFields>
  <formats count="3">
    <format dxfId="22">
      <pivotArea outline="0" collapsedLevelsAreSubtotals="1" fieldPosition="0"/>
    </format>
    <format dxfId="21">
      <pivotArea dataOnly="0" labelOnly="1" outline="0" axis="axisValues" fieldPosition="0"/>
    </format>
    <format dxfId="2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B0CF66D-DC73-46FA-B3CC-6CA8FE76E3DB}" sourceName="Payment Method">
  <pivotTables>
    <pivotTable tabId="10" name="PivotTable6"/>
    <pivotTable tabId="14" name="PivotTable1"/>
    <pivotTable tabId="8" name="PivotTable4"/>
    <pivotTable tabId="12" name="PivotTable8"/>
    <pivotTable tabId="15" name="PivotTable2"/>
  </pivotTables>
  <data>
    <tabular pivotCacheId="8977177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454B1EA-C8A5-4DAE-95B6-426CA6B9F955}" sourceName="Product Category">
  <pivotTables>
    <pivotTable tabId="10" name="PivotTable6"/>
    <pivotTable tabId="14" name="PivotTable1"/>
    <pivotTable tabId="8" name="PivotTable4"/>
    <pivotTable tabId="12" name="PivotTable8"/>
    <pivotTable tabId="15" name="PivotTable2"/>
  </pivotTables>
  <data>
    <tabular pivotCacheId="897717797">
      <items count="5">
        <i x="2" s="1"/>
        <i x="0"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A09E41A-4D15-4615-AC09-8E3B7C09C371}" sourceName="City">
  <pivotTables>
    <pivotTable tabId="10" name="PivotTable6"/>
    <pivotTable tabId="14" name="PivotTable1"/>
    <pivotTable tabId="8" name="PivotTable4"/>
    <pivotTable tabId="12" name="PivotTable8"/>
    <pivotTable tabId="15" name="PivotTable2"/>
  </pivotTables>
  <data>
    <tabular pivotCacheId="897717797">
      <items count="5">
        <i x="3" s="1"/>
        <i x="0"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B23229DF-6BA2-4D0E-88ED-38B7B4DF1B2F}" sourceName="Order Date">
  <pivotTables>
    <pivotTable tabId="10" name="PivotTable6"/>
    <pivotTable tabId="14" name="PivotTable1"/>
    <pivotTable tabId="9" name="PivotTable5"/>
    <pivotTable tabId="12" name="PivotTable8"/>
    <pivotTable tabId="15" name="PivotTable2"/>
  </pivotTables>
  <data>
    <tabular pivotCacheId="89771779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C6B8766A-69D1-43CB-9BD2-D4BDF849E546}" cache="Slicer_Payment_Method" caption="Payment Method" style="SlicerStyleLight4" rowHeight="241300"/>
  <slicer name="Product Category" xr10:uid="{19418ADA-BD54-496A-9456-3F0D91F5FD92}" cache="Slicer_Product_Category" caption="Product Category" startItem="1" style="SlicerStyleLight4" rowHeight="241300"/>
  <slicer name="City" xr10:uid="{11FDF3A1-EC1F-4B13-ABFF-3A2F22213C15}" cache="Slicer_City" caption="City" style="SlicerStyleLight4" rowHeight="241300"/>
  <slicer name="Order Date" xr10:uid="{BF305218-2CE5-4581-80A8-DB3FB8D6404C}" cache="Slicer_Order_Date" caption="Order Date" startItem="4"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E4F36B-5F82-4A47-AD96-6CCA0CD93F77}" name="Table2" displayName="Table2" ref="A1:R301" totalsRowShown="0" headerRowDxfId="19" dataDxfId="18">
  <autoFilter ref="A1:R301" xr:uid="{8BE4F36B-5F82-4A47-AD96-6CCA0CD93F77}"/>
  <tableColumns count="18">
    <tableColumn id="1" xr3:uid="{E9E1EF52-19C1-45C5-9816-ECDBF860C649}" name="Order ID" dataDxfId="17"/>
    <tableColumn id="2" xr3:uid="{17C6B32E-6231-48EE-9B8B-E37B4982DDEC}" name="Order Date" dataDxfId="16"/>
    <tableColumn id="3" xr3:uid="{E06E8752-86F3-4875-8349-F1BA4F6EA5DD}" name="Customer Name" dataDxfId="15"/>
    <tableColumn id="4" xr3:uid="{967EC987-2B86-4B8A-86B3-7C22042675CE}" name="Gender" dataDxfId="14"/>
    <tableColumn id="5" xr3:uid="{86A0A73C-7B38-40B5-BAF7-7904651A3F37}" name="Age" dataDxfId="13"/>
    <tableColumn id="6" xr3:uid="{D8E7BE16-EC09-423B-B64B-D9F665160CA1}" name="City" dataDxfId="12"/>
    <tableColumn id="7" xr3:uid="{2968D59F-9574-4DC1-B311-DE34CAF5EED4}" name="Product Category" dataDxfId="11"/>
    <tableColumn id="8" xr3:uid="{C82FF5F0-ACCF-489B-B758-692ED8B35832}" name="Product" dataDxfId="10"/>
    <tableColumn id="9" xr3:uid="{1AC7F25B-6231-49E8-B244-2140B04C39D6}" name="Size" dataDxfId="9"/>
    <tableColumn id="10" xr3:uid="{1E345080-0BC7-4DD4-89DC-7790FD3C529E}" name="Color" dataDxfId="8"/>
    <tableColumn id="11" xr3:uid="{47B54F11-ACD2-4298-9090-02E76F2E087E}" name="Quantity" dataDxfId="7"/>
    <tableColumn id="12" xr3:uid="{AC67277E-F59E-4C39-A9A8-64DEA131E3D0}" name="Unit Price" dataDxfId="6" dataCellStyle="Comma"/>
    <tableColumn id="13" xr3:uid="{EF677127-9112-4451-AA35-96FAD99D927F}" name="Discount (%)" dataDxfId="5"/>
    <tableColumn id="14" xr3:uid="{EE6C2BEC-1BFF-481D-A304-0DF58FA768ED}" name="Sales" dataDxfId="4" dataCellStyle="Comma"/>
    <tableColumn id="15" xr3:uid="{D697D6DF-E2FC-4841-99E2-17E86201B8E0}" name="Cost" dataDxfId="3" dataCellStyle="Comma"/>
    <tableColumn id="16" xr3:uid="{A50EF457-E821-48C6-B270-62F567232681}" name="Profit" dataDxfId="2" dataCellStyle="Comma"/>
    <tableColumn id="17" xr3:uid="{558233FB-F46E-4E40-95EE-4C0C005E2EE1}" name="Payment Method" dataDxfId="1"/>
    <tableColumn id="18" xr3:uid="{1301EB1E-2D07-409D-A753-0D64B4DBF772}" name="Salesperson" dataDxfId="0"/>
  </tableColumns>
  <tableStyleInfo name="TableStyleLight18"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51B2-8F22-4423-BE00-F4BD03A3971B}">
  <dimension ref="A3:A4"/>
  <sheetViews>
    <sheetView workbookViewId="0">
      <selection activeCell="A4" sqref="A4"/>
    </sheetView>
  </sheetViews>
  <sheetFormatPr defaultRowHeight="14.25" x14ac:dyDescent="0.2"/>
  <cols>
    <col min="1" max="1" width="12.5" style="5" bestFit="1" customWidth="1"/>
  </cols>
  <sheetData>
    <row r="3" spans="1:1" x14ac:dyDescent="0.2">
      <c r="A3" s="13" t="s">
        <v>370</v>
      </c>
    </row>
    <row r="4" spans="1:1" x14ac:dyDescent="0.2">
      <c r="A4" s="14">
        <v>11330700</v>
      </c>
    </row>
  </sheetData>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C228-A781-4A09-B391-0AFD81F5E92B}">
  <dimension ref="A3:A4"/>
  <sheetViews>
    <sheetView workbookViewId="0">
      <selection activeCell="A4" sqref="A4"/>
    </sheetView>
  </sheetViews>
  <sheetFormatPr defaultRowHeight="14.25" x14ac:dyDescent="0.2"/>
  <cols>
    <col min="1" max="1" width="14.125" style="9" bestFit="1" customWidth="1"/>
  </cols>
  <sheetData>
    <row r="3" spans="1:1" x14ac:dyDescent="0.2">
      <c r="A3" s="10" t="s">
        <v>371</v>
      </c>
    </row>
    <row r="4" spans="1:1" x14ac:dyDescent="0.2">
      <c r="A4" s="12">
        <v>3726200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38ED3-8657-44F5-8208-42204F0378F4}">
  <dimension ref="A3:A4"/>
  <sheetViews>
    <sheetView workbookViewId="0">
      <selection activeCell="A3" sqref="A3"/>
    </sheetView>
  </sheetViews>
  <sheetFormatPr defaultRowHeight="14.25" x14ac:dyDescent="0.2"/>
  <cols>
    <col min="1" max="2" width="16.5" customWidth="1"/>
  </cols>
  <sheetData>
    <row r="3" spans="1:1" x14ac:dyDescent="0.2">
      <c r="A3" t="s">
        <v>375</v>
      </c>
    </row>
    <row r="4" spans="1:1" x14ac:dyDescent="0.2">
      <c r="A4" s="4">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D861-A93D-4D5C-8CFB-55E3031AD51F}">
  <dimension ref="A3:B9"/>
  <sheetViews>
    <sheetView workbookViewId="0">
      <selection activeCell="B5" sqref="B5"/>
    </sheetView>
  </sheetViews>
  <sheetFormatPr defaultRowHeight="14.25" x14ac:dyDescent="0.2"/>
  <cols>
    <col min="1" max="1" width="13.625" bestFit="1" customWidth="1"/>
    <col min="2" max="2" width="13.875" style="9" bestFit="1" customWidth="1"/>
  </cols>
  <sheetData>
    <row r="3" spans="1:2" x14ac:dyDescent="0.2">
      <c r="A3" s="6" t="s">
        <v>373</v>
      </c>
      <c r="B3" s="10" t="s">
        <v>370</v>
      </c>
    </row>
    <row r="4" spans="1:2" x14ac:dyDescent="0.2">
      <c r="A4" s="7" t="s">
        <v>69</v>
      </c>
      <c r="B4" s="12">
        <v>3612100</v>
      </c>
    </row>
    <row r="5" spans="1:2" x14ac:dyDescent="0.2">
      <c r="A5" s="7" t="s">
        <v>22</v>
      </c>
      <c r="B5" s="12">
        <v>2550000</v>
      </c>
    </row>
    <row r="6" spans="1:2" x14ac:dyDescent="0.2">
      <c r="A6" s="7" t="s">
        <v>43</v>
      </c>
      <c r="B6" s="12">
        <v>2103500</v>
      </c>
    </row>
    <row r="7" spans="1:2" x14ac:dyDescent="0.2">
      <c r="A7" s="7" t="s">
        <v>50</v>
      </c>
      <c r="B7" s="12">
        <v>2085000</v>
      </c>
    </row>
    <row r="8" spans="1:2" x14ac:dyDescent="0.2">
      <c r="A8" s="7" t="s">
        <v>36</v>
      </c>
      <c r="B8" s="12">
        <v>980100</v>
      </c>
    </row>
    <row r="9" spans="1:2" x14ac:dyDescent="0.2">
      <c r="A9" s="7" t="s">
        <v>374</v>
      </c>
      <c r="B9" s="12">
        <v>11330700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9AF8-4636-4EAC-A910-D3E51B39FCE5}">
  <dimension ref="A3:A4"/>
  <sheetViews>
    <sheetView workbookViewId="0">
      <selection activeCell="M17" sqref="M17"/>
    </sheetView>
  </sheetViews>
  <sheetFormatPr defaultRowHeight="14.25" x14ac:dyDescent="0.2"/>
  <cols>
    <col min="1" max="1" width="24.875" bestFit="1" customWidth="1"/>
  </cols>
  <sheetData>
    <row r="3" spans="1:1" x14ac:dyDescent="0.2">
      <c r="A3" t="s">
        <v>372</v>
      </c>
    </row>
    <row r="4" spans="1:1" x14ac:dyDescent="0.2">
      <c r="A4" s="4">
        <v>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F8CA8-401C-432C-98BE-57CC0CDF3125}">
  <dimension ref="A3:B9"/>
  <sheetViews>
    <sheetView workbookViewId="0">
      <selection activeCell="B4" sqref="B4"/>
    </sheetView>
  </sheetViews>
  <sheetFormatPr defaultRowHeight="14.25" x14ac:dyDescent="0.2"/>
  <cols>
    <col min="1" max="1" width="13.625" bestFit="1" customWidth="1"/>
    <col min="2" max="2" width="13.875" style="9" bestFit="1" customWidth="1"/>
  </cols>
  <sheetData>
    <row r="3" spans="1:2" x14ac:dyDescent="0.2">
      <c r="A3" s="6" t="s">
        <v>373</v>
      </c>
      <c r="B3" s="10" t="s">
        <v>370</v>
      </c>
    </row>
    <row r="4" spans="1:2" x14ac:dyDescent="0.2">
      <c r="A4" s="7" t="s">
        <v>21</v>
      </c>
      <c r="B4" s="12">
        <v>2611900</v>
      </c>
    </row>
    <row r="5" spans="1:2" x14ac:dyDescent="0.2">
      <c r="A5" s="7" t="s">
        <v>49</v>
      </c>
      <c r="B5" s="12">
        <v>2476600</v>
      </c>
    </row>
    <row r="6" spans="1:2" x14ac:dyDescent="0.2">
      <c r="A6" s="7" t="s">
        <v>68</v>
      </c>
      <c r="B6" s="12">
        <v>2266950</v>
      </c>
    </row>
    <row r="7" spans="1:2" x14ac:dyDescent="0.2">
      <c r="A7" s="7" t="s">
        <v>30</v>
      </c>
      <c r="B7" s="12">
        <v>2097650</v>
      </c>
    </row>
    <row r="8" spans="1:2" x14ac:dyDescent="0.2">
      <c r="A8" s="7" t="s">
        <v>42</v>
      </c>
      <c r="B8" s="12">
        <v>1877600</v>
      </c>
    </row>
    <row r="9" spans="1:2" x14ac:dyDescent="0.2">
      <c r="A9" s="7" t="s">
        <v>374</v>
      </c>
      <c r="B9" s="12">
        <v>11330700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66C24-15AC-48EF-82FC-37AE651BE5D9}">
  <dimension ref="A3:B14"/>
  <sheetViews>
    <sheetView workbookViewId="0">
      <selection activeCell="B7" sqref="B7"/>
    </sheetView>
  </sheetViews>
  <sheetFormatPr defaultRowHeight="14.25" x14ac:dyDescent="0.2"/>
  <cols>
    <col min="1" max="1" width="14.125" bestFit="1" customWidth="1"/>
    <col min="2" max="2" width="13.875" style="9" bestFit="1" customWidth="1"/>
  </cols>
  <sheetData>
    <row r="3" spans="1:2" x14ac:dyDescent="0.2">
      <c r="A3" s="6" t="s">
        <v>373</v>
      </c>
      <c r="B3" s="10" t="s">
        <v>370</v>
      </c>
    </row>
    <row r="4" spans="1:2" x14ac:dyDescent="0.2">
      <c r="A4" s="7" t="s">
        <v>70</v>
      </c>
      <c r="B4" s="12">
        <v>1854600</v>
      </c>
    </row>
    <row r="5" spans="1:2" x14ac:dyDescent="0.2">
      <c r="A5" s="7" t="s">
        <v>82</v>
      </c>
      <c r="B5" s="12">
        <v>1757500</v>
      </c>
    </row>
    <row r="6" spans="1:2" x14ac:dyDescent="0.2">
      <c r="A6" s="7" t="s">
        <v>74</v>
      </c>
      <c r="B6" s="12">
        <v>1494000</v>
      </c>
    </row>
    <row r="7" spans="1:2" x14ac:dyDescent="0.2">
      <c r="A7" s="7" t="s">
        <v>44</v>
      </c>
      <c r="B7" s="12">
        <v>1217000</v>
      </c>
    </row>
    <row r="8" spans="1:2" x14ac:dyDescent="0.2">
      <c r="A8" s="7" t="s">
        <v>51</v>
      </c>
      <c r="B8" s="12">
        <v>1123200</v>
      </c>
    </row>
    <row r="9" spans="1:2" x14ac:dyDescent="0.2">
      <c r="A9" s="7" t="s">
        <v>23</v>
      </c>
      <c r="B9" s="12">
        <v>1056000</v>
      </c>
    </row>
    <row r="10" spans="1:2" x14ac:dyDescent="0.2">
      <c r="A10" s="7" t="s">
        <v>57</v>
      </c>
      <c r="B10" s="12">
        <v>961800</v>
      </c>
    </row>
    <row r="11" spans="1:2" x14ac:dyDescent="0.2">
      <c r="A11" s="7" t="s">
        <v>60</v>
      </c>
      <c r="B11" s="12">
        <v>886500</v>
      </c>
    </row>
    <row r="12" spans="1:2" x14ac:dyDescent="0.2">
      <c r="A12" s="7" t="s">
        <v>37</v>
      </c>
      <c r="B12" s="12">
        <v>497600</v>
      </c>
    </row>
    <row r="13" spans="1:2" x14ac:dyDescent="0.2">
      <c r="A13" s="7" t="s">
        <v>76</v>
      </c>
      <c r="B13" s="12">
        <v>482500</v>
      </c>
    </row>
    <row r="14" spans="1:2" x14ac:dyDescent="0.2">
      <c r="A14" s="7" t="s">
        <v>374</v>
      </c>
      <c r="B14" s="12">
        <v>11330700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350F-F7AC-4D9C-BBB6-2C3CB1E2CE60}">
  <dimension ref="A3:B7"/>
  <sheetViews>
    <sheetView workbookViewId="0">
      <selection activeCell="G23" sqref="G23"/>
    </sheetView>
  </sheetViews>
  <sheetFormatPr defaultRowHeight="14.25" x14ac:dyDescent="0.2"/>
  <cols>
    <col min="1" max="1" width="13.625" bestFit="1" customWidth="1"/>
    <col min="2" max="2" width="17.75" bestFit="1" customWidth="1"/>
  </cols>
  <sheetData>
    <row r="3" spans="1:2" x14ac:dyDescent="0.2">
      <c r="A3" s="6" t="s">
        <v>373</v>
      </c>
      <c r="B3" t="s">
        <v>375</v>
      </c>
    </row>
    <row r="4" spans="1:2" x14ac:dyDescent="0.2">
      <c r="A4" s="7" t="s">
        <v>64</v>
      </c>
      <c r="B4" s="4">
        <v>101</v>
      </c>
    </row>
    <row r="5" spans="1:2" x14ac:dyDescent="0.2">
      <c r="A5" s="7" t="s">
        <v>26</v>
      </c>
      <c r="B5" s="4">
        <v>99</v>
      </c>
    </row>
    <row r="6" spans="1:2" x14ac:dyDescent="0.2">
      <c r="A6" s="7" t="s">
        <v>47</v>
      </c>
      <c r="B6" s="4">
        <v>100</v>
      </c>
    </row>
    <row r="7" spans="1:2" x14ac:dyDescent="0.2">
      <c r="A7" s="7" t="s">
        <v>374</v>
      </c>
      <c r="B7" s="4">
        <v>300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23D6-65B0-46B1-A7A0-1377739BA8F2}">
  <dimension ref="A3:B16"/>
  <sheetViews>
    <sheetView workbookViewId="0">
      <selection activeCell="B10" sqref="B10"/>
    </sheetView>
  </sheetViews>
  <sheetFormatPr defaultRowHeight="14.25" x14ac:dyDescent="0.2"/>
  <cols>
    <col min="1" max="1" width="13.625" bestFit="1" customWidth="1"/>
    <col min="2" max="2" width="13.875" style="9" bestFit="1" customWidth="1"/>
  </cols>
  <sheetData>
    <row r="3" spans="1:2" x14ac:dyDescent="0.2">
      <c r="A3" s="6" t="s">
        <v>373</v>
      </c>
      <c r="B3" s="10" t="s">
        <v>370</v>
      </c>
    </row>
    <row r="4" spans="1:2" x14ac:dyDescent="0.2">
      <c r="A4" s="8" t="s">
        <v>376</v>
      </c>
      <c r="B4" s="12">
        <v>1188750</v>
      </c>
    </row>
    <row r="5" spans="1:2" x14ac:dyDescent="0.2">
      <c r="A5" s="8" t="s">
        <v>377</v>
      </c>
      <c r="B5" s="12">
        <v>756800</v>
      </c>
    </row>
    <row r="6" spans="1:2" x14ac:dyDescent="0.2">
      <c r="A6" s="8" t="s">
        <v>378</v>
      </c>
      <c r="B6" s="12">
        <v>829800</v>
      </c>
    </row>
    <row r="7" spans="1:2" x14ac:dyDescent="0.2">
      <c r="A7" s="8" t="s">
        <v>379</v>
      </c>
      <c r="B7" s="12">
        <v>752350</v>
      </c>
    </row>
    <row r="8" spans="1:2" x14ac:dyDescent="0.2">
      <c r="A8" s="8" t="s">
        <v>380</v>
      </c>
      <c r="B8" s="12">
        <v>801450</v>
      </c>
    </row>
    <row r="9" spans="1:2" x14ac:dyDescent="0.2">
      <c r="A9" s="8" t="s">
        <v>381</v>
      </c>
      <c r="B9" s="12">
        <v>1184800</v>
      </c>
    </row>
    <row r="10" spans="1:2" x14ac:dyDescent="0.2">
      <c r="A10" s="8" t="s">
        <v>382</v>
      </c>
      <c r="B10" s="12">
        <v>716450</v>
      </c>
    </row>
    <row r="11" spans="1:2" x14ac:dyDescent="0.2">
      <c r="A11" s="8" t="s">
        <v>383</v>
      </c>
      <c r="B11" s="12">
        <v>1078700</v>
      </c>
    </row>
    <row r="12" spans="1:2" x14ac:dyDescent="0.2">
      <c r="A12" s="8" t="s">
        <v>384</v>
      </c>
      <c r="B12" s="12">
        <v>935450</v>
      </c>
    </row>
    <row r="13" spans="1:2" x14ac:dyDescent="0.2">
      <c r="A13" s="8" t="s">
        <v>385</v>
      </c>
      <c r="B13" s="12">
        <v>913300</v>
      </c>
    </row>
    <row r="14" spans="1:2" x14ac:dyDescent="0.2">
      <c r="A14" s="8" t="s">
        <v>386</v>
      </c>
      <c r="B14" s="12">
        <v>745900</v>
      </c>
    </row>
    <row r="15" spans="1:2" x14ac:dyDescent="0.2">
      <c r="A15" s="8" t="s">
        <v>387</v>
      </c>
      <c r="B15" s="12">
        <v>1426950</v>
      </c>
    </row>
    <row r="16" spans="1:2" x14ac:dyDescent="0.2">
      <c r="A16" s="8" t="s">
        <v>374</v>
      </c>
      <c r="B16" s="12">
        <v>11330700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742A6-7814-40CC-8250-EAFBB9BC52D6}">
  <dimension ref="A1:R301"/>
  <sheetViews>
    <sheetView workbookViewId="0">
      <selection activeCell="P1" sqref="P1"/>
    </sheetView>
  </sheetViews>
  <sheetFormatPr defaultRowHeight="14.25" x14ac:dyDescent="0.2"/>
  <cols>
    <col min="1" max="1" width="13.25" style="2" bestFit="1" customWidth="1"/>
    <col min="2" max="2" width="16.75" style="2" bestFit="1" customWidth="1"/>
    <col min="3" max="3" width="20.375" style="2" bestFit="1" customWidth="1"/>
    <col min="4" max="4" width="11.875" style="2" bestFit="1" customWidth="1"/>
    <col min="5" max="5" width="8.375" style="2" bestFit="1" customWidth="1"/>
    <col min="6" max="6" width="12.75" style="2" bestFit="1" customWidth="1"/>
    <col min="7" max="7" width="21.375" style="2" bestFit="1" customWidth="1"/>
    <col min="8" max="8" width="14.125" style="2" bestFit="1" customWidth="1"/>
    <col min="9" max="9" width="8.625" style="2" bestFit="1" customWidth="1"/>
    <col min="10" max="10" width="10.125" style="2" bestFit="1" customWidth="1"/>
    <col min="11" max="11" width="12.875" style="2" bestFit="1" customWidth="1"/>
    <col min="12" max="12" width="13.875" style="15" bestFit="1" customWidth="1"/>
    <col min="13" max="13" width="16.5" style="2" bestFit="1" customWidth="1"/>
    <col min="14" max="14" width="11.375" style="15" bestFit="1" customWidth="1"/>
    <col min="15" max="16" width="10.375" style="15" bestFit="1" customWidth="1"/>
    <col min="17" max="17" width="20.875" style="2" bestFit="1" customWidth="1"/>
    <col min="18" max="18" width="16.125" style="2" bestFit="1" customWidth="1"/>
    <col min="19" max="16384" width="9" style="2"/>
  </cols>
  <sheetData>
    <row r="1" spans="1:18" x14ac:dyDescent="0.2">
      <c r="A1" s="2" t="s">
        <v>0</v>
      </c>
      <c r="B1" s="2" t="s">
        <v>1</v>
      </c>
      <c r="C1" s="2" t="s">
        <v>2</v>
      </c>
      <c r="D1" s="2" t="s">
        <v>3</v>
      </c>
      <c r="E1" s="2" t="s">
        <v>4</v>
      </c>
      <c r="F1" s="2" t="s">
        <v>5</v>
      </c>
      <c r="G1" s="2" t="s">
        <v>6</v>
      </c>
      <c r="H1" s="2" t="s">
        <v>7</v>
      </c>
      <c r="I1" s="2" t="s">
        <v>8</v>
      </c>
      <c r="J1" s="2" t="s">
        <v>9</v>
      </c>
      <c r="K1" s="2" t="s">
        <v>10</v>
      </c>
      <c r="L1" s="15" t="s">
        <v>11</v>
      </c>
      <c r="M1" s="2" t="s">
        <v>12</v>
      </c>
      <c r="N1" s="15" t="s">
        <v>13</v>
      </c>
      <c r="O1" s="15" t="s">
        <v>14</v>
      </c>
      <c r="P1" s="15" t="s">
        <v>15</v>
      </c>
      <c r="Q1" s="2" t="s">
        <v>16</v>
      </c>
      <c r="R1" s="2" t="s">
        <v>17</v>
      </c>
    </row>
    <row r="2" spans="1:18" x14ac:dyDescent="0.2">
      <c r="A2" s="2" t="s">
        <v>18</v>
      </c>
      <c r="B2" s="3">
        <v>45902</v>
      </c>
      <c r="C2" s="2" t="s">
        <v>19</v>
      </c>
      <c r="D2" s="2" t="s">
        <v>20</v>
      </c>
      <c r="E2" s="2">
        <v>23</v>
      </c>
      <c r="F2" s="2" t="s">
        <v>21</v>
      </c>
      <c r="G2" s="2" t="s">
        <v>22</v>
      </c>
      <c r="H2" s="2" t="s">
        <v>23</v>
      </c>
      <c r="I2" s="2" t="s">
        <v>24</v>
      </c>
      <c r="J2" s="2" t="s">
        <v>25</v>
      </c>
      <c r="K2" s="2">
        <v>1</v>
      </c>
      <c r="L2" s="15">
        <v>15000</v>
      </c>
      <c r="M2" s="2">
        <v>10</v>
      </c>
      <c r="N2" s="15">
        <v>13500</v>
      </c>
      <c r="O2" s="15">
        <v>9000</v>
      </c>
      <c r="P2" s="15">
        <v>4500</v>
      </c>
      <c r="Q2" s="2" t="s">
        <v>26</v>
      </c>
      <c r="R2" s="2" t="s">
        <v>27</v>
      </c>
    </row>
    <row r="3" spans="1:18" hidden="1" x14ac:dyDescent="0.2">
      <c r="A3" s="2" t="s">
        <v>28</v>
      </c>
      <c r="B3" s="3">
        <v>45947</v>
      </c>
      <c r="C3" s="2" t="s">
        <v>29</v>
      </c>
      <c r="D3" s="2" t="s">
        <v>20</v>
      </c>
      <c r="E3" s="2">
        <v>48</v>
      </c>
      <c r="F3" s="2" t="s">
        <v>30</v>
      </c>
      <c r="G3" s="2" t="s">
        <v>22</v>
      </c>
      <c r="H3" s="2" t="s">
        <v>23</v>
      </c>
      <c r="I3" s="2" t="s">
        <v>31</v>
      </c>
      <c r="J3" s="2" t="s">
        <v>32</v>
      </c>
      <c r="K3" s="2">
        <v>4</v>
      </c>
      <c r="L3" s="15">
        <v>15000</v>
      </c>
      <c r="M3" s="2">
        <v>5</v>
      </c>
      <c r="N3" s="15">
        <v>57000</v>
      </c>
      <c r="O3" s="15">
        <v>36000</v>
      </c>
      <c r="P3" s="15">
        <v>21000</v>
      </c>
      <c r="Q3" s="2" t="s">
        <v>26</v>
      </c>
      <c r="R3" s="2" t="s">
        <v>33</v>
      </c>
    </row>
    <row r="4" spans="1:18" x14ac:dyDescent="0.2">
      <c r="A4" s="2" t="s">
        <v>34</v>
      </c>
      <c r="B4" s="3">
        <v>45841</v>
      </c>
      <c r="C4" s="2" t="s">
        <v>35</v>
      </c>
      <c r="D4" s="2" t="s">
        <v>20</v>
      </c>
      <c r="E4" s="2">
        <v>39</v>
      </c>
      <c r="F4" s="2" t="s">
        <v>30</v>
      </c>
      <c r="G4" s="2" t="s">
        <v>36</v>
      </c>
      <c r="H4" s="2" t="s">
        <v>37</v>
      </c>
      <c r="I4" s="2" t="s">
        <v>31</v>
      </c>
      <c r="J4" s="2" t="s">
        <v>32</v>
      </c>
      <c r="K4" s="2">
        <v>1</v>
      </c>
      <c r="L4" s="15">
        <v>8000</v>
      </c>
      <c r="M4" s="2">
        <v>15</v>
      </c>
      <c r="N4" s="15">
        <v>6800</v>
      </c>
      <c r="O4" s="15">
        <v>4500</v>
      </c>
      <c r="P4" s="15">
        <v>2300</v>
      </c>
      <c r="Q4" s="2" t="s">
        <v>26</v>
      </c>
      <c r="R4" s="2" t="s">
        <v>38</v>
      </c>
    </row>
    <row r="5" spans="1:18" x14ac:dyDescent="0.2">
      <c r="A5" s="2" t="s">
        <v>39</v>
      </c>
      <c r="B5" s="3">
        <v>45675</v>
      </c>
      <c r="C5" s="2" t="s">
        <v>40</v>
      </c>
      <c r="D5" s="2" t="s">
        <v>41</v>
      </c>
      <c r="E5" s="2">
        <v>36</v>
      </c>
      <c r="F5" s="2" t="s">
        <v>42</v>
      </c>
      <c r="G5" s="2" t="s">
        <v>43</v>
      </c>
      <c r="H5" s="2" t="s">
        <v>44</v>
      </c>
      <c r="I5" s="2" t="s">
        <v>45</v>
      </c>
      <c r="J5" s="2" t="s">
        <v>46</v>
      </c>
      <c r="K5" s="2">
        <v>2</v>
      </c>
      <c r="L5" s="15">
        <v>20000</v>
      </c>
      <c r="M5" s="2">
        <v>10</v>
      </c>
      <c r="N5" s="15">
        <v>36000</v>
      </c>
      <c r="O5" s="15">
        <v>24000</v>
      </c>
      <c r="P5" s="15">
        <v>12000</v>
      </c>
      <c r="Q5" s="2" t="s">
        <v>47</v>
      </c>
      <c r="R5" s="2" t="s">
        <v>27</v>
      </c>
    </row>
    <row r="6" spans="1:18" x14ac:dyDescent="0.2">
      <c r="A6" s="2" t="s">
        <v>48</v>
      </c>
      <c r="B6" s="3">
        <v>45667</v>
      </c>
      <c r="C6" s="2" t="s">
        <v>29</v>
      </c>
      <c r="D6" s="2" t="s">
        <v>20</v>
      </c>
      <c r="E6" s="2">
        <v>29</v>
      </c>
      <c r="F6" s="2" t="s">
        <v>49</v>
      </c>
      <c r="G6" s="2" t="s">
        <v>50</v>
      </c>
      <c r="H6" s="2" t="s">
        <v>51</v>
      </c>
      <c r="I6" s="2" t="s">
        <v>31</v>
      </c>
      <c r="J6" s="2" t="s">
        <v>52</v>
      </c>
      <c r="K6" s="2">
        <v>3</v>
      </c>
      <c r="L6" s="15">
        <v>16000</v>
      </c>
      <c r="M6" s="2">
        <v>10</v>
      </c>
      <c r="N6" s="15">
        <v>43200</v>
      </c>
      <c r="O6" s="15">
        <v>30000</v>
      </c>
      <c r="P6" s="15">
        <v>13200</v>
      </c>
      <c r="Q6" s="2" t="s">
        <v>26</v>
      </c>
      <c r="R6" s="2" t="s">
        <v>33</v>
      </c>
    </row>
    <row r="7" spans="1:18" x14ac:dyDescent="0.2">
      <c r="A7" s="2" t="s">
        <v>53</v>
      </c>
      <c r="B7" s="3">
        <v>45831</v>
      </c>
      <c r="C7" s="2" t="s">
        <v>54</v>
      </c>
      <c r="D7" s="2" t="s">
        <v>41</v>
      </c>
      <c r="E7" s="2">
        <v>41</v>
      </c>
      <c r="F7" s="2" t="s">
        <v>49</v>
      </c>
      <c r="G7" s="2" t="s">
        <v>43</v>
      </c>
      <c r="H7" s="2" t="s">
        <v>44</v>
      </c>
      <c r="I7" s="2" t="s">
        <v>24</v>
      </c>
      <c r="J7" s="2" t="s">
        <v>32</v>
      </c>
      <c r="K7" s="2">
        <v>2</v>
      </c>
      <c r="L7" s="15">
        <v>20000</v>
      </c>
      <c r="M7" s="2">
        <v>10</v>
      </c>
      <c r="N7" s="15">
        <v>36000</v>
      </c>
      <c r="O7" s="15">
        <v>24000</v>
      </c>
      <c r="P7" s="15">
        <v>12000</v>
      </c>
      <c r="Q7" s="2" t="s">
        <v>26</v>
      </c>
      <c r="R7" s="2" t="s">
        <v>38</v>
      </c>
    </row>
    <row r="8" spans="1:18" x14ac:dyDescent="0.2">
      <c r="A8" s="2" t="s">
        <v>55</v>
      </c>
      <c r="B8" s="3">
        <v>45724</v>
      </c>
      <c r="C8" s="2" t="s">
        <v>56</v>
      </c>
      <c r="D8" s="2" t="s">
        <v>20</v>
      </c>
      <c r="E8" s="2">
        <v>40</v>
      </c>
      <c r="F8" s="2" t="s">
        <v>42</v>
      </c>
      <c r="G8" s="2" t="s">
        <v>50</v>
      </c>
      <c r="H8" s="2" t="s">
        <v>57</v>
      </c>
      <c r="I8" s="2" t="s">
        <v>45</v>
      </c>
      <c r="J8" s="2" t="s">
        <v>52</v>
      </c>
      <c r="K8" s="2">
        <v>2</v>
      </c>
      <c r="L8" s="15">
        <v>14000</v>
      </c>
      <c r="M8" s="2">
        <v>15</v>
      </c>
      <c r="N8" s="15">
        <v>23800</v>
      </c>
      <c r="O8" s="15">
        <v>17000</v>
      </c>
      <c r="P8" s="15">
        <v>6800</v>
      </c>
      <c r="Q8" s="2" t="s">
        <v>26</v>
      </c>
      <c r="R8" s="2" t="s">
        <v>58</v>
      </c>
    </row>
    <row r="9" spans="1:18" x14ac:dyDescent="0.2">
      <c r="A9" s="2" t="s">
        <v>59</v>
      </c>
      <c r="B9" s="3">
        <v>45861</v>
      </c>
      <c r="C9" s="2" t="s">
        <v>56</v>
      </c>
      <c r="D9" s="2" t="s">
        <v>20</v>
      </c>
      <c r="E9" s="2">
        <v>50</v>
      </c>
      <c r="F9" s="2" t="s">
        <v>42</v>
      </c>
      <c r="G9" s="2" t="s">
        <v>43</v>
      </c>
      <c r="H9" s="2" t="s">
        <v>60</v>
      </c>
      <c r="I9" s="2" t="s">
        <v>45</v>
      </c>
      <c r="J9" s="2" t="s">
        <v>52</v>
      </c>
      <c r="K9" s="2">
        <v>4</v>
      </c>
      <c r="L9" s="15">
        <v>15000</v>
      </c>
      <c r="M9" s="2">
        <v>10</v>
      </c>
      <c r="N9" s="15">
        <v>54000</v>
      </c>
      <c r="O9" s="15">
        <v>36000</v>
      </c>
      <c r="P9" s="15">
        <v>18000</v>
      </c>
      <c r="Q9" s="2" t="s">
        <v>47</v>
      </c>
      <c r="R9" s="2" t="s">
        <v>38</v>
      </c>
    </row>
    <row r="10" spans="1:18" x14ac:dyDescent="0.2">
      <c r="A10" s="2" t="s">
        <v>61</v>
      </c>
      <c r="B10" s="3">
        <v>45978</v>
      </c>
      <c r="C10" s="2" t="s">
        <v>62</v>
      </c>
      <c r="D10" s="2" t="s">
        <v>20</v>
      </c>
      <c r="E10" s="2">
        <v>51</v>
      </c>
      <c r="F10" s="2" t="s">
        <v>30</v>
      </c>
      <c r="G10" s="2" t="s">
        <v>36</v>
      </c>
      <c r="H10" s="2" t="s">
        <v>37</v>
      </c>
      <c r="I10" s="2" t="s">
        <v>24</v>
      </c>
      <c r="J10" s="2" t="s">
        <v>46</v>
      </c>
      <c r="K10" s="2">
        <v>3</v>
      </c>
      <c r="L10" s="15">
        <v>8000</v>
      </c>
      <c r="M10" s="2">
        <v>5</v>
      </c>
      <c r="N10" s="15">
        <v>22800</v>
      </c>
      <c r="O10" s="15">
        <v>13500</v>
      </c>
      <c r="P10" s="15">
        <v>9300</v>
      </c>
      <c r="Q10" s="2" t="s">
        <v>26</v>
      </c>
      <c r="R10" s="2" t="s">
        <v>38</v>
      </c>
    </row>
    <row r="11" spans="1:18" x14ac:dyDescent="0.2">
      <c r="A11" s="2" t="s">
        <v>63</v>
      </c>
      <c r="B11" s="3">
        <v>45911</v>
      </c>
      <c r="C11" s="2" t="s">
        <v>40</v>
      </c>
      <c r="D11" s="2" t="s">
        <v>41</v>
      </c>
      <c r="E11" s="2">
        <v>32</v>
      </c>
      <c r="F11" s="2" t="s">
        <v>21</v>
      </c>
      <c r="G11" s="2" t="s">
        <v>43</v>
      </c>
      <c r="H11" s="2" t="s">
        <v>60</v>
      </c>
      <c r="I11" s="2" t="s">
        <v>31</v>
      </c>
      <c r="J11" s="2" t="s">
        <v>25</v>
      </c>
      <c r="K11" s="2">
        <v>4</v>
      </c>
      <c r="L11" s="15">
        <v>15000</v>
      </c>
      <c r="M11" s="2">
        <v>15</v>
      </c>
      <c r="N11" s="15">
        <v>51000</v>
      </c>
      <c r="O11" s="15">
        <v>36000</v>
      </c>
      <c r="P11" s="15">
        <v>15000</v>
      </c>
      <c r="Q11" s="2" t="s">
        <v>64</v>
      </c>
      <c r="R11" s="2" t="s">
        <v>27</v>
      </c>
    </row>
    <row r="12" spans="1:18" x14ac:dyDescent="0.2">
      <c r="A12" s="2" t="s">
        <v>65</v>
      </c>
      <c r="B12" s="3">
        <v>45665</v>
      </c>
      <c r="C12" s="2" t="s">
        <v>19</v>
      </c>
      <c r="D12" s="2" t="s">
        <v>41</v>
      </c>
      <c r="E12" s="2">
        <v>21</v>
      </c>
      <c r="F12" s="2" t="s">
        <v>21</v>
      </c>
      <c r="G12" s="2" t="s">
        <v>43</v>
      </c>
      <c r="H12" s="2" t="s">
        <v>44</v>
      </c>
      <c r="I12" s="2" t="s">
        <v>24</v>
      </c>
      <c r="J12" s="2" t="s">
        <v>66</v>
      </c>
      <c r="K12" s="2">
        <v>1</v>
      </c>
      <c r="L12" s="15">
        <v>20000</v>
      </c>
      <c r="M12" s="2">
        <v>15</v>
      </c>
      <c r="N12" s="15">
        <v>17000</v>
      </c>
      <c r="O12" s="15">
        <v>12000</v>
      </c>
      <c r="P12" s="15">
        <v>5000</v>
      </c>
      <c r="Q12" s="2" t="s">
        <v>64</v>
      </c>
      <c r="R12" s="2" t="s">
        <v>58</v>
      </c>
    </row>
    <row r="13" spans="1:18" x14ac:dyDescent="0.2">
      <c r="A13" s="2" t="s">
        <v>67</v>
      </c>
      <c r="B13" s="3">
        <v>45679</v>
      </c>
      <c r="C13" s="2" t="s">
        <v>62</v>
      </c>
      <c r="D13" s="2" t="s">
        <v>41</v>
      </c>
      <c r="E13" s="2">
        <v>29</v>
      </c>
      <c r="F13" s="2" t="s">
        <v>68</v>
      </c>
      <c r="G13" s="2" t="s">
        <v>69</v>
      </c>
      <c r="H13" s="2" t="s">
        <v>70</v>
      </c>
      <c r="I13" s="2" t="s">
        <v>71</v>
      </c>
      <c r="J13" s="2" t="s">
        <v>32</v>
      </c>
      <c r="K13" s="2">
        <v>4</v>
      </c>
      <c r="L13" s="15">
        <v>22000</v>
      </c>
      <c r="M13" s="2">
        <v>0</v>
      </c>
      <c r="N13" s="15">
        <v>88000</v>
      </c>
      <c r="O13" s="15">
        <v>56000</v>
      </c>
      <c r="P13" s="15">
        <v>32000</v>
      </c>
      <c r="Q13" s="2" t="s">
        <v>47</v>
      </c>
      <c r="R13" s="2" t="s">
        <v>33</v>
      </c>
    </row>
    <row r="14" spans="1:18" x14ac:dyDescent="0.2">
      <c r="A14" s="2" t="s">
        <v>72</v>
      </c>
      <c r="B14" s="3">
        <v>45829</v>
      </c>
      <c r="C14" s="2" t="s">
        <v>73</v>
      </c>
      <c r="D14" s="2" t="s">
        <v>20</v>
      </c>
      <c r="E14" s="2">
        <v>44</v>
      </c>
      <c r="F14" s="2" t="s">
        <v>21</v>
      </c>
      <c r="G14" s="2" t="s">
        <v>22</v>
      </c>
      <c r="H14" s="2" t="s">
        <v>74</v>
      </c>
      <c r="I14" s="2" t="s">
        <v>45</v>
      </c>
      <c r="J14" s="2" t="s">
        <v>52</v>
      </c>
      <c r="K14" s="2">
        <v>3</v>
      </c>
      <c r="L14" s="15">
        <v>18000</v>
      </c>
      <c r="M14" s="2">
        <v>5</v>
      </c>
      <c r="N14" s="15">
        <v>51300</v>
      </c>
      <c r="O14" s="15">
        <v>33000</v>
      </c>
      <c r="P14" s="15">
        <v>18300</v>
      </c>
      <c r="Q14" s="2" t="s">
        <v>47</v>
      </c>
      <c r="R14" s="2" t="s">
        <v>38</v>
      </c>
    </row>
    <row r="15" spans="1:18" x14ac:dyDescent="0.2">
      <c r="A15" s="2" t="s">
        <v>75</v>
      </c>
      <c r="B15" s="3">
        <v>45759</v>
      </c>
      <c r="C15" s="2" t="s">
        <v>73</v>
      </c>
      <c r="D15" s="2" t="s">
        <v>20</v>
      </c>
      <c r="E15" s="2">
        <v>25</v>
      </c>
      <c r="F15" s="2" t="s">
        <v>49</v>
      </c>
      <c r="G15" s="2" t="s">
        <v>36</v>
      </c>
      <c r="H15" s="2" t="s">
        <v>76</v>
      </c>
      <c r="I15" s="2" t="s">
        <v>71</v>
      </c>
      <c r="J15" s="2" t="s">
        <v>52</v>
      </c>
      <c r="K15" s="2">
        <v>3</v>
      </c>
      <c r="L15" s="15">
        <v>10000</v>
      </c>
      <c r="M15" s="2">
        <v>0</v>
      </c>
      <c r="N15" s="15">
        <v>30000</v>
      </c>
      <c r="O15" s="15">
        <v>18000</v>
      </c>
      <c r="P15" s="15">
        <v>12000</v>
      </c>
      <c r="Q15" s="2" t="s">
        <v>26</v>
      </c>
      <c r="R15" s="2" t="s">
        <v>33</v>
      </c>
    </row>
    <row r="16" spans="1:18" x14ac:dyDescent="0.2">
      <c r="A16" s="2" t="s">
        <v>77</v>
      </c>
      <c r="B16" s="3">
        <v>45972</v>
      </c>
      <c r="C16" s="2" t="s">
        <v>78</v>
      </c>
      <c r="D16" s="2" t="s">
        <v>20</v>
      </c>
      <c r="E16" s="2">
        <v>49</v>
      </c>
      <c r="F16" s="2" t="s">
        <v>42</v>
      </c>
      <c r="G16" s="2" t="s">
        <v>43</v>
      </c>
      <c r="H16" s="2" t="s">
        <v>44</v>
      </c>
      <c r="I16" s="2" t="s">
        <v>45</v>
      </c>
      <c r="J16" s="2" t="s">
        <v>66</v>
      </c>
      <c r="K16" s="2">
        <v>4</v>
      </c>
      <c r="L16" s="15">
        <v>20000</v>
      </c>
      <c r="M16" s="2">
        <v>10</v>
      </c>
      <c r="N16" s="15">
        <v>72000</v>
      </c>
      <c r="O16" s="15">
        <v>48000</v>
      </c>
      <c r="P16" s="15">
        <v>24000</v>
      </c>
      <c r="Q16" s="2" t="s">
        <v>26</v>
      </c>
      <c r="R16" s="2" t="s">
        <v>33</v>
      </c>
    </row>
    <row r="17" spans="1:18" x14ac:dyDescent="0.2">
      <c r="A17" s="2" t="s">
        <v>79</v>
      </c>
      <c r="B17" s="3">
        <v>45984</v>
      </c>
      <c r="C17" s="2" t="s">
        <v>40</v>
      </c>
      <c r="D17" s="2" t="s">
        <v>41</v>
      </c>
      <c r="E17" s="2">
        <v>19</v>
      </c>
      <c r="F17" s="2" t="s">
        <v>30</v>
      </c>
      <c r="G17" s="2" t="s">
        <v>69</v>
      </c>
      <c r="H17" s="2" t="s">
        <v>70</v>
      </c>
      <c r="I17" s="2" t="s">
        <v>45</v>
      </c>
      <c r="J17" s="2" t="s">
        <v>66</v>
      </c>
      <c r="K17" s="2">
        <v>2</v>
      </c>
      <c r="L17" s="15">
        <v>22000</v>
      </c>
      <c r="M17" s="2">
        <v>10</v>
      </c>
      <c r="N17" s="15">
        <v>39600</v>
      </c>
      <c r="O17" s="15">
        <v>28000</v>
      </c>
      <c r="P17" s="15">
        <v>11600</v>
      </c>
      <c r="Q17" s="2" t="s">
        <v>26</v>
      </c>
      <c r="R17" s="2" t="s">
        <v>33</v>
      </c>
    </row>
    <row r="18" spans="1:18" x14ac:dyDescent="0.2">
      <c r="A18" s="2" t="s">
        <v>80</v>
      </c>
      <c r="B18" s="3">
        <v>45889</v>
      </c>
      <c r="C18" s="2" t="s">
        <v>81</v>
      </c>
      <c r="D18" s="2" t="s">
        <v>41</v>
      </c>
      <c r="E18" s="2">
        <v>32</v>
      </c>
      <c r="F18" s="2" t="s">
        <v>30</v>
      </c>
      <c r="G18" s="2" t="s">
        <v>69</v>
      </c>
      <c r="H18" s="2" t="s">
        <v>82</v>
      </c>
      <c r="I18" s="2" t="s">
        <v>24</v>
      </c>
      <c r="J18" s="2" t="s">
        <v>46</v>
      </c>
      <c r="K18" s="2">
        <v>2</v>
      </c>
      <c r="L18" s="15">
        <v>25000</v>
      </c>
      <c r="M18" s="2">
        <v>5</v>
      </c>
      <c r="N18" s="15">
        <v>47500</v>
      </c>
      <c r="O18" s="15">
        <v>34000</v>
      </c>
      <c r="P18" s="15">
        <v>13500</v>
      </c>
      <c r="Q18" s="2" t="s">
        <v>26</v>
      </c>
      <c r="R18" s="2" t="s">
        <v>27</v>
      </c>
    </row>
    <row r="19" spans="1:18" x14ac:dyDescent="0.2">
      <c r="A19" s="2" t="s">
        <v>83</v>
      </c>
      <c r="B19" s="3">
        <v>45906</v>
      </c>
      <c r="C19" s="2" t="s">
        <v>54</v>
      </c>
      <c r="D19" s="2" t="s">
        <v>20</v>
      </c>
      <c r="E19" s="2">
        <v>55</v>
      </c>
      <c r="F19" s="2" t="s">
        <v>68</v>
      </c>
      <c r="G19" s="2" t="s">
        <v>69</v>
      </c>
      <c r="H19" s="2" t="s">
        <v>70</v>
      </c>
      <c r="I19" s="2" t="s">
        <v>45</v>
      </c>
      <c r="J19" s="2" t="s">
        <v>46</v>
      </c>
      <c r="K19" s="2">
        <v>3</v>
      </c>
      <c r="L19" s="15">
        <v>22000</v>
      </c>
      <c r="M19" s="2">
        <v>15</v>
      </c>
      <c r="N19" s="15">
        <v>56100</v>
      </c>
      <c r="O19" s="15">
        <v>42000</v>
      </c>
      <c r="P19" s="15">
        <v>14100</v>
      </c>
      <c r="Q19" s="2" t="s">
        <v>64</v>
      </c>
      <c r="R19" s="2" t="s">
        <v>27</v>
      </c>
    </row>
    <row r="20" spans="1:18" x14ac:dyDescent="0.2">
      <c r="A20" s="2" t="s">
        <v>84</v>
      </c>
      <c r="B20" s="3">
        <v>45773</v>
      </c>
      <c r="C20" s="2" t="s">
        <v>78</v>
      </c>
      <c r="D20" s="2" t="s">
        <v>20</v>
      </c>
      <c r="E20" s="2">
        <v>39</v>
      </c>
      <c r="F20" s="2" t="s">
        <v>30</v>
      </c>
      <c r="G20" s="2" t="s">
        <v>50</v>
      </c>
      <c r="H20" s="2" t="s">
        <v>57</v>
      </c>
      <c r="I20" s="2" t="s">
        <v>71</v>
      </c>
      <c r="J20" s="2" t="s">
        <v>66</v>
      </c>
      <c r="K20" s="2">
        <v>3</v>
      </c>
      <c r="L20" s="15">
        <v>14000</v>
      </c>
      <c r="M20" s="2">
        <v>10</v>
      </c>
      <c r="N20" s="15">
        <v>37800</v>
      </c>
      <c r="O20" s="15">
        <v>25500</v>
      </c>
      <c r="P20" s="15">
        <v>12300</v>
      </c>
      <c r="Q20" s="2" t="s">
        <v>47</v>
      </c>
      <c r="R20" s="2" t="s">
        <v>58</v>
      </c>
    </row>
    <row r="21" spans="1:18" x14ac:dyDescent="0.2">
      <c r="A21" s="2" t="s">
        <v>85</v>
      </c>
      <c r="B21" s="3">
        <v>45934</v>
      </c>
      <c r="C21" s="2" t="s">
        <v>86</v>
      </c>
      <c r="D21" s="2" t="s">
        <v>41</v>
      </c>
      <c r="E21" s="2">
        <v>25</v>
      </c>
      <c r="F21" s="2" t="s">
        <v>21</v>
      </c>
      <c r="G21" s="2" t="s">
        <v>22</v>
      </c>
      <c r="H21" s="2" t="s">
        <v>74</v>
      </c>
      <c r="I21" s="2" t="s">
        <v>71</v>
      </c>
      <c r="J21" s="2" t="s">
        <v>46</v>
      </c>
      <c r="K21" s="2">
        <v>4</v>
      </c>
      <c r="L21" s="15">
        <v>18000</v>
      </c>
      <c r="M21" s="2">
        <v>15</v>
      </c>
      <c r="N21" s="15">
        <v>61200</v>
      </c>
      <c r="O21" s="15">
        <v>44000</v>
      </c>
      <c r="P21" s="15">
        <v>17200</v>
      </c>
      <c r="Q21" s="2" t="s">
        <v>64</v>
      </c>
      <c r="R21" s="2" t="s">
        <v>27</v>
      </c>
    </row>
    <row r="22" spans="1:18" x14ac:dyDescent="0.2">
      <c r="A22" s="2" t="s">
        <v>87</v>
      </c>
      <c r="B22" s="3">
        <v>45674</v>
      </c>
      <c r="C22" s="2" t="s">
        <v>86</v>
      </c>
      <c r="D22" s="2" t="s">
        <v>41</v>
      </c>
      <c r="E22" s="2">
        <v>33</v>
      </c>
      <c r="F22" s="2" t="s">
        <v>21</v>
      </c>
      <c r="G22" s="2" t="s">
        <v>36</v>
      </c>
      <c r="H22" s="2" t="s">
        <v>76</v>
      </c>
      <c r="I22" s="2" t="s">
        <v>24</v>
      </c>
      <c r="J22" s="2" t="s">
        <v>52</v>
      </c>
      <c r="K22" s="2">
        <v>2</v>
      </c>
      <c r="L22" s="15">
        <v>10000</v>
      </c>
      <c r="M22" s="2">
        <v>10</v>
      </c>
      <c r="N22" s="15">
        <v>18000</v>
      </c>
      <c r="O22" s="15">
        <v>12000</v>
      </c>
      <c r="P22" s="15">
        <v>6000</v>
      </c>
      <c r="Q22" s="2" t="s">
        <v>47</v>
      </c>
      <c r="R22" s="2" t="s">
        <v>33</v>
      </c>
    </row>
    <row r="23" spans="1:18" x14ac:dyDescent="0.2">
      <c r="A23" s="2" t="s">
        <v>88</v>
      </c>
      <c r="B23" s="3">
        <v>45822</v>
      </c>
      <c r="C23" s="2" t="s">
        <v>89</v>
      </c>
      <c r="D23" s="2" t="s">
        <v>41</v>
      </c>
      <c r="E23" s="2">
        <v>43</v>
      </c>
      <c r="F23" s="2" t="s">
        <v>68</v>
      </c>
      <c r="G23" s="2" t="s">
        <v>69</v>
      </c>
      <c r="H23" s="2" t="s">
        <v>70</v>
      </c>
      <c r="I23" s="2" t="s">
        <v>45</v>
      </c>
      <c r="J23" s="2" t="s">
        <v>32</v>
      </c>
      <c r="K23" s="2">
        <v>4</v>
      </c>
      <c r="L23" s="15">
        <v>22000</v>
      </c>
      <c r="M23" s="2">
        <v>10</v>
      </c>
      <c r="N23" s="15">
        <v>79200</v>
      </c>
      <c r="O23" s="15">
        <v>56000</v>
      </c>
      <c r="P23" s="15">
        <v>23200</v>
      </c>
      <c r="Q23" s="2" t="s">
        <v>64</v>
      </c>
      <c r="R23" s="2" t="s">
        <v>27</v>
      </c>
    </row>
    <row r="24" spans="1:18" x14ac:dyDescent="0.2">
      <c r="A24" s="2" t="s">
        <v>90</v>
      </c>
      <c r="B24" s="3">
        <v>45701</v>
      </c>
      <c r="C24" s="2" t="s">
        <v>91</v>
      </c>
      <c r="D24" s="2" t="s">
        <v>41</v>
      </c>
      <c r="E24" s="2">
        <v>30</v>
      </c>
      <c r="F24" s="2" t="s">
        <v>21</v>
      </c>
      <c r="G24" s="2" t="s">
        <v>36</v>
      </c>
      <c r="H24" s="2" t="s">
        <v>76</v>
      </c>
      <c r="I24" s="2" t="s">
        <v>31</v>
      </c>
      <c r="J24" s="2" t="s">
        <v>52</v>
      </c>
      <c r="K24" s="2">
        <v>3</v>
      </c>
      <c r="L24" s="15">
        <v>10000</v>
      </c>
      <c r="M24" s="2">
        <v>5</v>
      </c>
      <c r="N24" s="15">
        <v>28500</v>
      </c>
      <c r="O24" s="15">
        <v>18000</v>
      </c>
      <c r="P24" s="15">
        <v>10500</v>
      </c>
      <c r="Q24" s="2" t="s">
        <v>26</v>
      </c>
      <c r="R24" s="2" t="s">
        <v>27</v>
      </c>
    </row>
    <row r="25" spans="1:18" x14ac:dyDescent="0.2">
      <c r="A25" s="2" t="s">
        <v>92</v>
      </c>
      <c r="B25" s="3">
        <v>46003</v>
      </c>
      <c r="C25" s="2" t="s">
        <v>73</v>
      </c>
      <c r="D25" s="2" t="s">
        <v>20</v>
      </c>
      <c r="E25" s="2">
        <v>47</v>
      </c>
      <c r="F25" s="2" t="s">
        <v>49</v>
      </c>
      <c r="G25" s="2" t="s">
        <v>50</v>
      </c>
      <c r="H25" s="2" t="s">
        <v>51</v>
      </c>
      <c r="I25" s="2" t="s">
        <v>24</v>
      </c>
      <c r="J25" s="2" t="s">
        <v>52</v>
      </c>
      <c r="K25" s="2">
        <v>2</v>
      </c>
      <c r="L25" s="15">
        <v>16000</v>
      </c>
      <c r="M25" s="2">
        <v>5</v>
      </c>
      <c r="N25" s="15">
        <v>30400</v>
      </c>
      <c r="O25" s="15">
        <v>20000</v>
      </c>
      <c r="P25" s="15">
        <v>10400</v>
      </c>
      <c r="Q25" s="2" t="s">
        <v>64</v>
      </c>
      <c r="R25" s="2" t="s">
        <v>27</v>
      </c>
    </row>
    <row r="26" spans="1:18" x14ac:dyDescent="0.2">
      <c r="A26" s="2" t="s">
        <v>93</v>
      </c>
      <c r="B26" s="3">
        <v>45829</v>
      </c>
      <c r="C26" s="2" t="s">
        <v>54</v>
      </c>
      <c r="D26" s="2" t="s">
        <v>41</v>
      </c>
      <c r="E26" s="2">
        <v>49</v>
      </c>
      <c r="F26" s="2" t="s">
        <v>68</v>
      </c>
      <c r="G26" s="2" t="s">
        <v>69</v>
      </c>
      <c r="H26" s="2" t="s">
        <v>70</v>
      </c>
      <c r="I26" s="2" t="s">
        <v>71</v>
      </c>
      <c r="J26" s="2" t="s">
        <v>46</v>
      </c>
      <c r="K26" s="2">
        <v>1</v>
      </c>
      <c r="L26" s="15">
        <v>22000</v>
      </c>
      <c r="M26" s="2">
        <v>15</v>
      </c>
      <c r="N26" s="15">
        <v>18700</v>
      </c>
      <c r="O26" s="15">
        <v>14000</v>
      </c>
      <c r="P26" s="15">
        <v>4700</v>
      </c>
      <c r="Q26" s="2" t="s">
        <v>64</v>
      </c>
      <c r="R26" s="2" t="s">
        <v>27</v>
      </c>
    </row>
    <row r="27" spans="1:18" x14ac:dyDescent="0.2">
      <c r="A27" s="2" t="s">
        <v>94</v>
      </c>
      <c r="B27" s="3">
        <v>45675</v>
      </c>
      <c r="C27" s="2" t="s">
        <v>81</v>
      </c>
      <c r="D27" s="2" t="s">
        <v>20</v>
      </c>
      <c r="E27" s="2">
        <v>22</v>
      </c>
      <c r="F27" s="2" t="s">
        <v>42</v>
      </c>
      <c r="G27" s="2" t="s">
        <v>43</v>
      </c>
      <c r="H27" s="2" t="s">
        <v>60</v>
      </c>
      <c r="I27" s="2" t="s">
        <v>45</v>
      </c>
      <c r="J27" s="2" t="s">
        <v>95</v>
      </c>
      <c r="K27" s="2">
        <v>1</v>
      </c>
      <c r="L27" s="15">
        <v>15000</v>
      </c>
      <c r="M27" s="2">
        <v>10</v>
      </c>
      <c r="N27" s="15">
        <v>13500</v>
      </c>
      <c r="O27" s="15">
        <v>9000</v>
      </c>
      <c r="P27" s="15">
        <v>4500</v>
      </c>
      <c r="Q27" s="2" t="s">
        <v>47</v>
      </c>
      <c r="R27" s="2" t="s">
        <v>27</v>
      </c>
    </row>
    <row r="28" spans="1:18" x14ac:dyDescent="0.2">
      <c r="A28" s="2" t="s">
        <v>96</v>
      </c>
      <c r="B28" s="3">
        <v>45887</v>
      </c>
      <c r="C28" s="2" t="s">
        <v>81</v>
      </c>
      <c r="D28" s="2" t="s">
        <v>41</v>
      </c>
      <c r="E28" s="2">
        <v>37</v>
      </c>
      <c r="F28" s="2" t="s">
        <v>68</v>
      </c>
      <c r="G28" s="2" t="s">
        <v>69</v>
      </c>
      <c r="H28" s="2" t="s">
        <v>70</v>
      </c>
      <c r="I28" s="2" t="s">
        <v>24</v>
      </c>
      <c r="J28" s="2" t="s">
        <v>32</v>
      </c>
      <c r="K28" s="2">
        <v>3</v>
      </c>
      <c r="L28" s="15">
        <v>22000</v>
      </c>
      <c r="M28" s="2">
        <v>10</v>
      </c>
      <c r="N28" s="15">
        <v>59400</v>
      </c>
      <c r="O28" s="15">
        <v>42000</v>
      </c>
      <c r="P28" s="15">
        <v>17400</v>
      </c>
      <c r="Q28" s="2" t="s">
        <v>47</v>
      </c>
      <c r="R28" s="2" t="s">
        <v>27</v>
      </c>
    </row>
    <row r="29" spans="1:18" x14ac:dyDescent="0.2">
      <c r="A29" s="2" t="s">
        <v>97</v>
      </c>
      <c r="B29" s="3">
        <v>45678</v>
      </c>
      <c r="C29" s="2" t="s">
        <v>78</v>
      </c>
      <c r="D29" s="2" t="s">
        <v>41</v>
      </c>
      <c r="E29" s="2">
        <v>29</v>
      </c>
      <c r="F29" s="2" t="s">
        <v>68</v>
      </c>
      <c r="G29" s="2" t="s">
        <v>69</v>
      </c>
      <c r="H29" s="2" t="s">
        <v>70</v>
      </c>
      <c r="I29" s="2" t="s">
        <v>71</v>
      </c>
      <c r="J29" s="2" t="s">
        <v>95</v>
      </c>
      <c r="K29" s="2">
        <v>2</v>
      </c>
      <c r="L29" s="15">
        <v>22000</v>
      </c>
      <c r="M29" s="2">
        <v>0</v>
      </c>
      <c r="N29" s="15">
        <v>44000</v>
      </c>
      <c r="O29" s="15">
        <v>28000</v>
      </c>
      <c r="P29" s="15">
        <v>16000</v>
      </c>
      <c r="Q29" s="2" t="s">
        <v>26</v>
      </c>
      <c r="R29" s="2" t="s">
        <v>33</v>
      </c>
    </row>
    <row r="30" spans="1:18" x14ac:dyDescent="0.2">
      <c r="A30" s="2" t="s">
        <v>98</v>
      </c>
      <c r="B30" s="3">
        <v>45790</v>
      </c>
      <c r="C30" s="2" t="s">
        <v>81</v>
      </c>
      <c r="D30" s="2" t="s">
        <v>20</v>
      </c>
      <c r="E30" s="2">
        <v>52</v>
      </c>
      <c r="F30" s="2" t="s">
        <v>68</v>
      </c>
      <c r="G30" s="2" t="s">
        <v>69</v>
      </c>
      <c r="H30" s="2" t="s">
        <v>82</v>
      </c>
      <c r="I30" s="2" t="s">
        <v>24</v>
      </c>
      <c r="J30" s="2" t="s">
        <v>25</v>
      </c>
      <c r="K30" s="2">
        <v>3</v>
      </c>
      <c r="L30" s="15">
        <v>25000</v>
      </c>
      <c r="M30" s="2">
        <v>10</v>
      </c>
      <c r="N30" s="15">
        <v>67500</v>
      </c>
      <c r="O30" s="15">
        <v>51000</v>
      </c>
      <c r="P30" s="15">
        <v>16500</v>
      </c>
      <c r="Q30" s="2" t="s">
        <v>26</v>
      </c>
      <c r="R30" s="2" t="s">
        <v>27</v>
      </c>
    </row>
    <row r="31" spans="1:18" x14ac:dyDescent="0.2">
      <c r="A31" s="2" t="s">
        <v>99</v>
      </c>
      <c r="B31" s="3">
        <v>45769</v>
      </c>
      <c r="C31" s="2" t="s">
        <v>86</v>
      </c>
      <c r="D31" s="2" t="s">
        <v>41</v>
      </c>
      <c r="E31" s="2">
        <v>50</v>
      </c>
      <c r="F31" s="2" t="s">
        <v>30</v>
      </c>
      <c r="G31" s="2" t="s">
        <v>22</v>
      </c>
      <c r="H31" s="2" t="s">
        <v>74</v>
      </c>
      <c r="I31" s="2" t="s">
        <v>45</v>
      </c>
      <c r="J31" s="2" t="s">
        <v>25</v>
      </c>
      <c r="K31" s="2">
        <v>3</v>
      </c>
      <c r="L31" s="15">
        <v>18000</v>
      </c>
      <c r="M31" s="2">
        <v>0</v>
      </c>
      <c r="N31" s="15">
        <v>54000</v>
      </c>
      <c r="O31" s="15">
        <v>33000</v>
      </c>
      <c r="P31" s="15">
        <v>21000</v>
      </c>
      <c r="Q31" s="2" t="s">
        <v>47</v>
      </c>
      <c r="R31" s="2" t="s">
        <v>33</v>
      </c>
    </row>
    <row r="32" spans="1:18" x14ac:dyDescent="0.2">
      <c r="A32" s="2" t="s">
        <v>100</v>
      </c>
      <c r="B32" s="3">
        <v>45950</v>
      </c>
      <c r="C32" s="2" t="s">
        <v>56</v>
      </c>
      <c r="D32" s="2" t="s">
        <v>41</v>
      </c>
      <c r="E32" s="2">
        <v>29</v>
      </c>
      <c r="F32" s="2" t="s">
        <v>30</v>
      </c>
      <c r="G32" s="2" t="s">
        <v>50</v>
      </c>
      <c r="H32" s="2" t="s">
        <v>57</v>
      </c>
      <c r="I32" s="2" t="s">
        <v>45</v>
      </c>
      <c r="J32" s="2" t="s">
        <v>66</v>
      </c>
      <c r="K32" s="2">
        <v>1</v>
      </c>
      <c r="L32" s="15">
        <v>14000</v>
      </c>
      <c r="M32" s="2">
        <v>5</v>
      </c>
      <c r="N32" s="15">
        <v>13300</v>
      </c>
      <c r="O32" s="15">
        <v>8500</v>
      </c>
      <c r="P32" s="15">
        <v>4800</v>
      </c>
      <c r="Q32" s="2" t="s">
        <v>64</v>
      </c>
      <c r="R32" s="2" t="s">
        <v>27</v>
      </c>
    </row>
    <row r="33" spans="1:18" x14ac:dyDescent="0.2">
      <c r="A33" s="2" t="s">
        <v>101</v>
      </c>
      <c r="B33" s="3">
        <v>45805</v>
      </c>
      <c r="C33" s="2" t="s">
        <v>54</v>
      </c>
      <c r="D33" s="2" t="s">
        <v>41</v>
      </c>
      <c r="E33" s="2">
        <v>20</v>
      </c>
      <c r="F33" s="2" t="s">
        <v>30</v>
      </c>
      <c r="G33" s="2" t="s">
        <v>22</v>
      </c>
      <c r="H33" s="2" t="s">
        <v>23</v>
      </c>
      <c r="I33" s="2" t="s">
        <v>71</v>
      </c>
      <c r="J33" s="2" t="s">
        <v>95</v>
      </c>
      <c r="K33" s="2">
        <v>1</v>
      </c>
      <c r="L33" s="15">
        <v>15000</v>
      </c>
      <c r="M33" s="2">
        <v>5</v>
      </c>
      <c r="N33" s="15">
        <v>14250</v>
      </c>
      <c r="O33" s="15">
        <v>9000</v>
      </c>
      <c r="P33" s="15">
        <v>5250</v>
      </c>
      <c r="Q33" s="2" t="s">
        <v>26</v>
      </c>
      <c r="R33" s="2" t="s">
        <v>38</v>
      </c>
    </row>
    <row r="34" spans="1:18" x14ac:dyDescent="0.2">
      <c r="A34" s="2" t="s">
        <v>102</v>
      </c>
      <c r="B34" s="3">
        <v>46010</v>
      </c>
      <c r="C34" s="2" t="s">
        <v>89</v>
      </c>
      <c r="D34" s="2" t="s">
        <v>41</v>
      </c>
      <c r="E34" s="2">
        <v>25</v>
      </c>
      <c r="F34" s="2" t="s">
        <v>21</v>
      </c>
      <c r="G34" s="2" t="s">
        <v>69</v>
      </c>
      <c r="H34" s="2" t="s">
        <v>82</v>
      </c>
      <c r="I34" s="2" t="s">
        <v>31</v>
      </c>
      <c r="J34" s="2" t="s">
        <v>52</v>
      </c>
      <c r="K34" s="2">
        <v>3</v>
      </c>
      <c r="L34" s="15">
        <v>25000</v>
      </c>
      <c r="M34" s="2">
        <v>15</v>
      </c>
      <c r="N34" s="15">
        <v>63750</v>
      </c>
      <c r="O34" s="15">
        <v>51000</v>
      </c>
      <c r="P34" s="15">
        <v>12750</v>
      </c>
      <c r="Q34" s="2" t="s">
        <v>47</v>
      </c>
      <c r="R34" s="2" t="s">
        <v>58</v>
      </c>
    </row>
    <row r="35" spans="1:18" x14ac:dyDescent="0.2">
      <c r="A35" s="2" t="s">
        <v>103</v>
      </c>
      <c r="B35" s="3">
        <v>45703</v>
      </c>
      <c r="C35" s="2" t="s">
        <v>78</v>
      </c>
      <c r="D35" s="2" t="s">
        <v>41</v>
      </c>
      <c r="E35" s="2">
        <v>39</v>
      </c>
      <c r="F35" s="2" t="s">
        <v>68</v>
      </c>
      <c r="G35" s="2" t="s">
        <v>50</v>
      </c>
      <c r="H35" s="2" t="s">
        <v>51</v>
      </c>
      <c r="I35" s="2" t="s">
        <v>71</v>
      </c>
      <c r="J35" s="2" t="s">
        <v>66</v>
      </c>
      <c r="K35" s="2">
        <v>3</v>
      </c>
      <c r="L35" s="15">
        <v>16000</v>
      </c>
      <c r="M35" s="2">
        <v>0</v>
      </c>
      <c r="N35" s="15">
        <v>48000</v>
      </c>
      <c r="O35" s="15">
        <v>30000</v>
      </c>
      <c r="P35" s="15">
        <v>18000</v>
      </c>
      <c r="Q35" s="2" t="s">
        <v>47</v>
      </c>
      <c r="R35" s="2" t="s">
        <v>27</v>
      </c>
    </row>
    <row r="36" spans="1:18" x14ac:dyDescent="0.2">
      <c r="A36" s="2" t="s">
        <v>104</v>
      </c>
      <c r="B36" s="3">
        <v>46006</v>
      </c>
      <c r="C36" s="2" t="s">
        <v>62</v>
      </c>
      <c r="D36" s="2" t="s">
        <v>41</v>
      </c>
      <c r="E36" s="2">
        <v>26</v>
      </c>
      <c r="F36" s="2" t="s">
        <v>68</v>
      </c>
      <c r="G36" s="2" t="s">
        <v>50</v>
      </c>
      <c r="H36" s="2" t="s">
        <v>51</v>
      </c>
      <c r="I36" s="2" t="s">
        <v>45</v>
      </c>
      <c r="J36" s="2" t="s">
        <v>46</v>
      </c>
      <c r="K36" s="2">
        <v>1</v>
      </c>
      <c r="L36" s="15">
        <v>16000</v>
      </c>
      <c r="M36" s="2">
        <v>5</v>
      </c>
      <c r="N36" s="15">
        <v>15200</v>
      </c>
      <c r="O36" s="15">
        <v>10000</v>
      </c>
      <c r="P36" s="15">
        <v>5200</v>
      </c>
      <c r="Q36" s="2" t="s">
        <v>47</v>
      </c>
      <c r="R36" s="2" t="s">
        <v>33</v>
      </c>
    </row>
    <row r="37" spans="1:18" x14ac:dyDescent="0.2">
      <c r="A37" s="2" t="s">
        <v>105</v>
      </c>
      <c r="B37" s="3">
        <v>45971</v>
      </c>
      <c r="C37" s="2" t="s">
        <v>29</v>
      </c>
      <c r="D37" s="2" t="s">
        <v>20</v>
      </c>
      <c r="E37" s="2">
        <v>41</v>
      </c>
      <c r="F37" s="2" t="s">
        <v>30</v>
      </c>
      <c r="G37" s="2" t="s">
        <v>43</v>
      </c>
      <c r="H37" s="2" t="s">
        <v>44</v>
      </c>
      <c r="I37" s="2" t="s">
        <v>71</v>
      </c>
      <c r="J37" s="2" t="s">
        <v>66</v>
      </c>
      <c r="K37" s="2">
        <v>1</v>
      </c>
      <c r="L37" s="15">
        <v>20000</v>
      </c>
      <c r="M37" s="2">
        <v>0</v>
      </c>
      <c r="N37" s="15">
        <v>20000</v>
      </c>
      <c r="O37" s="15">
        <v>12000</v>
      </c>
      <c r="P37" s="15">
        <v>8000</v>
      </c>
      <c r="Q37" s="2" t="s">
        <v>47</v>
      </c>
      <c r="R37" s="2" t="s">
        <v>33</v>
      </c>
    </row>
    <row r="38" spans="1:18" x14ac:dyDescent="0.2">
      <c r="A38" s="2" t="s">
        <v>106</v>
      </c>
      <c r="B38" s="3">
        <v>46010</v>
      </c>
      <c r="C38" s="2" t="s">
        <v>40</v>
      </c>
      <c r="D38" s="2" t="s">
        <v>20</v>
      </c>
      <c r="E38" s="2">
        <v>36</v>
      </c>
      <c r="F38" s="2" t="s">
        <v>68</v>
      </c>
      <c r="G38" s="2" t="s">
        <v>69</v>
      </c>
      <c r="H38" s="2" t="s">
        <v>82</v>
      </c>
      <c r="I38" s="2" t="s">
        <v>71</v>
      </c>
      <c r="J38" s="2" t="s">
        <v>25</v>
      </c>
      <c r="K38" s="2">
        <v>2</v>
      </c>
      <c r="L38" s="15">
        <v>25000</v>
      </c>
      <c r="M38" s="2">
        <v>0</v>
      </c>
      <c r="N38" s="15">
        <v>50000</v>
      </c>
      <c r="O38" s="15">
        <v>34000</v>
      </c>
      <c r="P38" s="15">
        <v>16000</v>
      </c>
      <c r="Q38" s="2" t="s">
        <v>64</v>
      </c>
      <c r="R38" s="2" t="s">
        <v>38</v>
      </c>
    </row>
    <row r="39" spans="1:18" x14ac:dyDescent="0.2">
      <c r="A39" s="2" t="s">
        <v>107</v>
      </c>
      <c r="B39" s="3">
        <v>45818</v>
      </c>
      <c r="C39" s="2" t="s">
        <v>40</v>
      </c>
      <c r="D39" s="2" t="s">
        <v>41</v>
      </c>
      <c r="E39" s="2">
        <v>21</v>
      </c>
      <c r="F39" s="2" t="s">
        <v>49</v>
      </c>
      <c r="G39" s="2" t="s">
        <v>69</v>
      </c>
      <c r="H39" s="2" t="s">
        <v>82</v>
      </c>
      <c r="I39" s="2" t="s">
        <v>71</v>
      </c>
      <c r="J39" s="2" t="s">
        <v>66</v>
      </c>
      <c r="K39" s="2">
        <v>1</v>
      </c>
      <c r="L39" s="15">
        <v>25000</v>
      </c>
      <c r="M39" s="2">
        <v>15</v>
      </c>
      <c r="N39" s="15">
        <v>21250</v>
      </c>
      <c r="O39" s="15">
        <v>17000</v>
      </c>
      <c r="P39" s="15">
        <v>4250</v>
      </c>
      <c r="Q39" s="2" t="s">
        <v>26</v>
      </c>
      <c r="R39" s="2" t="s">
        <v>33</v>
      </c>
    </row>
    <row r="40" spans="1:18" x14ac:dyDescent="0.2">
      <c r="A40" s="2" t="s">
        <v>108</v>
      </c>
      <c r="B40" s="3">
        <v>45723</v>
      </c>
      <c r="C40" s="2" t="s">
        <v>56</v>
      </c>
      <c r="D40" s="2" t="s">
        <v>41</v>
      </c>
      <c r="E40" s="2">
        <v>27</v>
      </c>
      <c r="F40" s="2" t="s">
        <v>42</v>
      </c>
      <c r="G40" s="2" t="s">
        <v>43</v>
      </c>
      <c r="H40" s="2" t="s">
        <v>60</v>
      </c>
      <c r="I40" s="2" t="s">
        <v>45</v>
      </c>
      <c r="J40" s="2" t="s">
        <v>25</v>
      </c>
      <c r="K40" s="2">
        <v>1</v>
      </c>
      <c r="L40" s="15">
        <v>15000</v>
      </c>
      <c r="M40" s="2">
        <v>0</v>
      </c>
      <c r="N40" s="15">
        <v>15000</v>
      </c>
      <c r="O40" s="15">
        <v>9000</v>
      </c>
      <c r="P40" s="15">
        <v>6000</v>
      </c>
      <c r="Q40" s="2" t="s">
        <v>47</v>
      </c>
      <c r="R40" s="2" t="s">
        <v>27</v>
      </c>
    </row>
    <row r="41" spans="1:18" x14ac:dyDescent="0.2">
      <c r="A41" s="2" t="s">
        <v>109</v>
      </c>
      <c r="B41" s="3">
        <v>45659</v>
      </c>
      <c r="C41" s="2" t="s">
        <v>56</v>
      </c>
      <c r="D41" s="2" t="s">
        <v>20</v>
      </c>
      <c r="E41" s="2">
        <v>18</v>
      </c>
      <c r="F41" s="2" t="s">
        <v>49</v>
      </c>
      <c r="G41" s="2" t="s">
        <v>69</v>
      </c>
      <c r="H41" s="2" t="s">
        <v>70</v>
      </c>
      <c r="I41" s="2" t="s">
        <v>24</v>
      </c>
      <c r="J41" s="2" t="s">
        <v>32</v>
      </c>
      <c r="K41" s="2">
        <v>1</v>
      </c>
      <c r="L41" s="15">
        <v>22000</v>
      </c>
      <c r="M41" s="2">
        <v>10</v>
      </c>
      <c r="N41" s="15">
        <v>19800</v>
      </c>
      <c r="O41" s="15">
        <v>14000</v>
      </c>
      <c r="P41" s="15">
        <v>5800</v>
      </c>
      <c r="Q41" s="2" t="s">
        <v>47</v>
      </c>
      <c r="R41" s="2" t="s">
        <v>33</v>
      </c>
    </row>
    <row r="42" spans="1:18" x14ac:dyDescent="0.2">
      <c r="A42" s="2" t="s">
        <v>110</v>
      </c>
      <c r="B42" s="3">
        <v>46004</v>
      </c>
      <c r="C42" s="2" t="s">
        <v>91</v>
      </c>
      <c r="D42" s="2" t="s">
        <v>20</v>
      </c>
      <c r="E42" s="2">
        <v>36</v>
      </c>
      <c r="F42" s="2" t="s">
        <v>21</v>
      </c>
      <c r="G42" s="2" t="s">
        <v>50</v>
      </c>
      <c r="H42" s="2" t="s">
        <v>57</v>
      </c>
      <c r="I42" s="2" t="s">
        <v>71</v>
      </c>
      <c r="J42" s="2" t="s">
        <v>66</v>
      </c>
      <c r="K42" s="2">
        <v>2</v>
      </c>
      <c r="L42" s="15">
        <v>14000</v>
      </c>
      <c r="M42" s="2">
        <v>0</v>
      </c>
      <c r="N42" s="15">
        <v>28000</v>
      </c>
      <c r="O42" s="15">
        <v>17000</v>
      </c>
      <c r="P42" s="15">
        <v>11000</v>
      </c>
      <c r="Q42" s="2" t="s">
        <v>64</v>
      </c>
      <c r="R42" s="2" t="s">
        <v>27</v>
      </c>
    </row>
    <row r="43" spans="1:18" x14ac:dyDescent="0.2">
      <c r="A43" s="2" t="s">
        <v>111</v>
      </c>
      <c r="B43" s="3">
        <v>45677</v>
      </c>
      <c r="C43" s="2" t="s">
        <v>81</v>
      </c>
      <c r="D43" s="2" t="s">
        <v>41</v>
      </c>
      <c r="E43" s="2">
        <v>36</v>
      </c>
      <c r="F43" s="2" t="s">
        <v>21</v>
      </c>
      <c r="G43" s="2" t="s">
        <v>50</v>
      </c>
      <c r="H43" s="2" t="s">
        <v>51</v>
      </c>
      <c r="I43" s="2" t="s">
        <v>45</v>
      </c>
      <c r="J43" s="2" t="s">
        <v>46</v>
      </c>
      <c r="K43" s="2">
        <v>3</v>
      </c>
      <c r="L43" s="15">
        <v>16000</v>
      </c>
      <c r="M43" s="2">
        <v>15</v>
      </c>
      <c r="N43" s="15">
        <v>40800</v>
      </c>
      <c r="O43" s="15">
        <v>30000</v>
      </c>
      <c r="P43" s="15">
        <v>10800</v>
      </c>
      <c r="Q43" s="2" t="s">
        <v>47</v>
      </c>
      <c r="R43" s="2" t="s">
        <v>27</v>
      </c>
    </row>
    <row r="44" spans="1:18" x14ac:dyDescent="0.2">
      <c r="A44" s="2" t="s">
        <v>112</v>
      </c>
      <c r="B44" s="3">
        <v>45764</v>
      </c>
      <c r="C44" s="2" t="s">
        <v>89</v>
      </c>
      <c r="D44" s="2" t="s">
        <v>20</v>
      </c>
      <c r="E44" s="2">
        <v>48</v>
      </c>
      <c r="F44" s="2" t="s">
        <v>49</v>
      </c>
      <c r="G44" s="2" t="s">
        <v>22</v>
      </c>
      <c r="H44" s="2" t="s">
        <v>74</v>
      </c>
      <c r="I44" s="2" t="s">
        <v>71</v>
      </c>
      <c r="J44" s="2" t="s">
        <v>66</v>
      </c>
      <c r="K44" s="2">
        <v>2</v>
      </c>
      <c r="L44" s="15">
        <v>18000</v>
      </c>
      <c r="M44" s="2">
        <v>0</v>
      </c>
      <c r="N44" s="15">
        <v>36000</v>
      </c>
      <c r="O44" s="15">
        <v>22000</v>
      </c>
      <c r="P44" s="15">
        <v>14000</v>
      </c>
      <c r="Q44" s="2" t="s">
        <v>47</v>
      </c>
      <c r="R44" s="2" t="s">
        <v>38</v>
      </c>
    </row>
    <row r="45" spans="1:18" x14ac:dyDescent="0.2">
      <c r="A45" s="2" t="s">
        <v>113</v>
      </c>
      <c r="B45" s="3">
        <v>45926</v>
      </c>
      <c r="C45" s="2" t="s">
        <v>19</v>
      </c>
      <c r="D45" s="2" t="s">
        <v>41</v>
      </c>
      <c r="E45" s="2">
        <v>44</v>
      </c>
      <c r="F45" s="2" t="s">
        <v>49</v>
      </c>
      <c r="G45" s="2" t="s">
        <v>69</v>
      </c>
      <c r="H45" s="2" t="s">
        <v>82</v>
      </c>
      <c r="I45" s="2" t="s">
        <v>24</v>
      </c>
      <c r="J45" s="2" t="s">
        <v>66</v>
      </c>
      <c r="K45" s="2">
        <v>1</v>
      </c>
      <c r="L45" s="15">
        <v>25000</v>
      </c>
      <c r="M45" s="2">
        <v>5</v>
      </c>
      <c r="N45" s="15">
        <v>23750</v>
      </c>
      <c r="O45" s="15">
        <v>17000</v>
      </c>
      <c r="P45" s="15">
        <v>6750</v>
      </c>
      <c r="Q45" s="2" t="s">
        <v>64</v>
      </c>
      <c r="R45" s="2" t="s">
        <v>58</v>
      </c>
    </row>
    <row r="46" spans="1:18" x14ac:dyDescent="0.2">
      <c r="A46" s="2" t="s">
        <v>114</v>
      </c>
      <c r="B46" s="3">
        <v>45834</v>
      </c>
      <c r="C46" s="2" t="s">
        <v>81</v>
      </c>
      <c r="D46" s="2" t="s">
        <v>20</v>
      </c>
      <c r="E46" s="2">
        <v>38</v>
      </c>
      <c r="F46" s="2" t="s">
        <v>30</v>
      </c>
      <c r="G46" s="2" t="s">
        <v>69</v>
      </c>
      <c r="H46" s="2" t="s">
        <v>82</v>
      </c>
      <c r="I46" s="2" t="s">
        <v>45</v>
      </c>
      <c r="J46" s="2" t="s">
        <v>52</v>
      </c>
      <c r="K46" s="2">
        <v>4</v>
      </c>
      <c r="L46" s="15">
        <v>25000</v>
      </c>
      <c r="M46" s="2">
        <v>15</v>
      </c>
      <c r="N46" s="15">
        <v>85000</v>
      </c>
      <c r="O46" s="15">
        <v>68000</v>
      </c>
      <c r="P46" s="15">
        <v>17000</v>
      </c>
      <c r="Q46" s="2" t="s">
        <v>26</v>
      </c>
      <c r="R46" s="2" t="s">
        <v>27</v>
      </c>
    </row>
    <row r="47" spans="1:18" x14ac:dyDescent="0.2">
      <c r="A47" s="2" t="s">
        <v>115</v>
      </c>
      <c r="B47" s="3">
        <v>45892</v>
      </c>
      <c r="C47" s="2" t="s">
        <v>81</v>
      </c>
      <c r="D47" s="2" t="s">
        <v>41</v>
      </c>
      <c r="E47" s="2">
        <v>20</v>
      </c>
      <c r="F47" s="2" t="s">
        <v>30</v>
      </c>
      <c r="G47" s="2" t="s">
        <v>22</v>
      </c>
      <c r="H47" s="2" t="s">
        <v>74</v>
      </c>
      <c r="I47" s="2" t="s">
        <v>45</v>
      </c>
      <c r="J47" s="2" t="s">
        <v>46</v>
      </c>
      <c r="K47" s="2">
        <v>4</v>
      </c>
      <c r="L47" s="15">
        <v>18000</v>
      </c>
      <c r="M47" s="2">
        <v>15</v>
      </c>
      <c r="N47" s="15">
        <v>61200</v>
      </c>
      <c r="O47" s="15">
        <v>44000</v>
      </c>
      <c r="P47" s="15">
        <v>17200</v>
      </c>
      <c r="Q47" s="2" t="s">
        <v>26</v>
      </c>
      <c r="R47" s="2" t="s">
        <v>38</v>
      </c>
    </row>
    <row r="48" spans="1:18" x14ac:dyDescent="0.2">
      <c r="A48" s="2" t="s">
        <v>116</v>
      </c>
      <c r="B48" s="3">
        <v>45916</v>
      </c>
      <c r="C48" s="2" t="s">
        <v>40</v>
      </c>
      <c r="D48" s="2" t="s">
        <v>20</v>
      </c>
      <c r="E48" s="2">
        <v>44</v>
      </c>
      <c r="F48" s="2" t="s">
        <v>30</v>
      </c>
      <c r="G48" s="2" t="s">
        <v>36</v>
      </c>
      <c r="H48" s="2" t="s">
        <v>37</v>
      </c>
      <c r="I48" s="2" t="s">
        <v>31</v>
      </c>
      <c r="J48" s="2" t="s">
        <v>95</v>
      </c>
      <c r="K48" s="2">
        <v>4</v>
      </c>
      <c r="L48" s="15">
        <v>8000</v>
      </c>
      <c r="M48" s="2">
        <v>5</v>
      </c>
      <c r="N48" s="15">
        <v>30400</v>
      </c>
      <c r="O48" s="15">
        <v>18000</v>
      </c>
      <c r="P48" s="15">
        <v>12400</v>
      </c>
      <c r="Q48" s="2" t="s">
        <v>26</v>
      </c>
      <c r="R48" s="2" t="s">
        <v>33</v>
      </c>
    </row>
    <row r="49" spans="1:18" x14ac:dyDescent="0.2">
      <c r="A49" s="2" t="s">
        <v>117</v>
      </c>
      <c r="B49" s="3">
        <v>45810</v>
      </c>
      <c r="C49" s="2" t="s">
        <v>40</v>
      </c>
      <c r="D49" s="2" t="s">
        <v>20</v>
      </c>
      <c r="E49" s="2">
        <v>46</v>
      </c>
      <c r="F49" s="2" t="s">
        <v>68</v>
      </c>
      <c r="G49" s="2" t="s">
        <v>69</v>
      </c>
      <c r="H49" s="2" t="s">
        <v>82</v>
      </c>
      <c r="I49" s="2" t="s">
        <v>24</v>
      </c>
      <c r="J49" s="2" t="s">
        <v>95</v>
      </c>
      <c r="K49" s="2">
        <v>2</v>
      </c>
      <c r="L49" s="15">
        <v>25000</v>
      </c>
      <c r="M49" s="2">
        <v>15</v>
      </c>
      <c r="N49" s="15">
        <v>42500</v>
      </c>
      <c r="O49" s="15">
        <v>34000</v>
      </c>
      <c r="P49" s="15">
        <v>8500</v>
      </c>
      <c r="Q49" s="2" t="s">
        <v>26</v>
      </c>
      <c r="R49" s="2" t="s">
        <v>58</v>
      </c>
    </row>
    <row r="50" spans="1:18" x14ac:dyDescent="0.2">
      <c r="A50" s="2" t="s">
        <v>118</v>
      </c>
      <c r="B50" s="3">
        <v>45771</v>
      </c>
      <c r="C50" s="2" t="s">
        <v>86</v>
      </c>
      <c r="D50" s="2" t="s">
        <v>20</v>
      </c>
      <c r="E50" s="2">
        <v>52</v>
      </c>
      <c r="F50" s="2" t="s">
        <v>68</v>
      </c>
      <c r="G50" s="2" t="s">
        <v>36</v>
      </c>
      <c r="H50" s="2" t="s">
        <v>37</v>
      </c>
      <c r="I50" s="2" t="s">
        <v>24</v>
      </c>
      <c r="J50" s="2" t="s">
        <v>32</v>
      </c>
      <c r="K50" s="2">
        <v>3</v>
      </c>
      <c r="L50" s="15">
        <v>8000</v>
      </c>
      <c r="M50" s="2">
        <v>5</v>
      </c>
      <c r="N50" s="15">
        <v>22800</v>
      </c>
      <c r="O50" s="15">
        <v>13500</v>
      </c>
      <c r="P50" s="15">
        <v>9300</v>
      </c>
      <c r="Q50" s="2" t="s">
        <v>64</v>
      </c>
      <c r="R50" s="2" t="s">
        <v>58</v>
      </c>
    </row>
    <row r="51" spans="1:18" x14ac:dyDescent="0.2">
      <c r="A51" s="2" t="s">
        <v>119</v>
      </c>
      <c r="B51" s="3">
        <v>45960</v>
      </c>
      <c r="C51" s="2" t="s">
        <v>62</v>
      </c>
      <c r="D51" s="2" t="s">
        <v>20</v>
      </c>
      <c r="E51" s="2">
        <v>45</v>
      </c>
      <c r="F51" s="2" t="s">
        <v>30</v>
      </c>
      <c r="G51" s="2" t="s">
        <v>22</v>
      </c>
      <c r="H51" s="2" t="s">
        <v>74</v>
      </c>
      <c r="I51" s="2" t="s">
        <v>71</v>
      </c>
      <c r="J51" s="2" t="s">
        <v>52</v>
      </c>
      <c r="K51" s="2">
        <v>2</v>
      </c>
      <c r="L51" s="15">
        <v>18000</v>
      </c>
      <c r="M51" s="2">
        <v>5</v>
      </c>
      <c r="N51" s="15">
        <v>34200</v>
      </c>
      <c r="O51" s="15">
        <v>22000</v>
      </c>
      <c r="P51" s="15">
        <v>12200</v>
      </c>
      <c r="Q51" s="2" t="s">
        <v>47</v>
      </c>
      <c r="R51" s="2" t="s">
        <v>58</v>
      </c>
    </row>
    <row r="52" spans="1:18" x14ac:dyDescent="0.2">
      <c r="A52" s="2" t="s">
        <v>120</v>
      </c>
      <c r="B52" s="3">
        <v>45697</v>
      </c>
      <c r="C52" s="2" t="s">
        <v>40</v>
      </c>
      <c r="D52" s="2" t="s">
        <v>41</v>
      </c>
      <c r="E52" s="2">
        <v>28</v>
      </c>
      <c r="F52" s="2" t="s">
        <v>42</v>
      </c>
      <c r="G52" s="2" t="s">
        <v>50</v>
      </c>
      <c r="H52" s="2" t="s">
        <v>57</v>
      </c>
      <c r="I52" s="2" t="s">
        <v>24</v>
      </c>
      <c r="J52" s="2" t="s">
        <v>52</v>
      </c>
      <c r="K52" s="2">
        <v>1</v>
      </c>
      <c r="L52" s="15">
        <v>14000</v>
      </c>
      <c r="M52" s="2">
        <v>10</v>
      </c>
      <c r="N52" s="15">
        <v>12600</v>
      </c>
      <c r="O52" s="15">
        <v>8500</v>
      </c>
      <c r="P52" s="15">
        <v>4100</v>
      </c>
      <c r="Q52" s="2" t="s">
        <v>26</v>
      </c>
      <c r="R52" s="2" t="s">
        <v>33</v>
      </c>
    </row>
    <row r="53" spans="1:18" x14ac:dyDescent="0.2">
      <c r="A53" s="2" t="s">
        <v>121</v>
      </c>
      <c r="B53" s="3">
        <v>45692</v>
      </c>
      <c r="C53" s="2" t="s">
        <v>89</v>
      </c>
      <c r="D53" s="2" t="s">
        <v>20</v>
      </c>
      <c r="E53" s="2">
        <v>44</v>
      </c>
      <c r="F53" s="2" t="s">
        <v>42</v>
      </c>
      <c r="G53" s="2" t="s">
        <v>43</v>
      </c>
      <c r="H53" s="2" t="s">
        <v>44</v>
      </c>
      <c r="I53" s="2" t="s">
        <v>31</v>
      </c>
      <c r="J53" s="2" t="s">
        <v>25</v>
      </c>
      <c r="K53" s="2">
        <v>2</v>
      </c>
      <c r="L53" s="15">
        <v>20000</v>
      </c>
      <c r="M53" s="2">
        <v>0</v>
      </c>
      <c r="N53" s="15">
        <v>40000</v>
      </c>
      <c r="O53" s="15">
        <v>24000</v>
      </c>
      <c r="P53" s="15">
        <v>16000</v>
      </c>
      <c r="Q53" s="2" t="s">
        <v>64</v>
      </c>
      <c r="R53" s="2" t="s">
        <v>58</v>
      </c>
    </row>
    <row r="54" spans="1:18" x14ac:dyDescent="0.2">
      <c r="A54" s="2" t="s">
        <v>122</v>
      </c>
      <c r="B54" s="3">
        <v>45842</v>
      </c>
      <c r="C54" s="2" t="s">
        <v>19</v>
      </c>
      <c r="D54" s="2" t="s">
        <v>20</v>
      </c>
      <c r="E54" s="2">
        <v>50</v>
      </c>
      <c r="F54" s="2" t="s">
        <v>68</v>
      </c>
      <c r="G54" s="2" t="s">
        <v>43</v>
      </c>
      <c r="H54" s="2" t="s">
        <v>60</v>
      </c>
      <c r="I54" s="2" t="s">
        <v>31</v>
      </c>
      <c r="J54" s="2" t="s">
        <v>25</v>
      </c>
      <c r="K54" s="2">
        <v>1</v>
      </c>
      <c r="L54" s="15">
        <v>15000</v>
      </c>
      <c r="M54" s="2">
        <v>15</v>
      </c>
      <c r="N54" s="15">
        <v>12750</v>
      </c>
      <c r="O54" s="15">
        <v>9000</v>
      </c>
      <c r="P54" s="15">
        <v>3750</v>
      </c>
      <c r="Q54" s="2" t="s">
        <v>26</v>
      </c>
      <c r="R54" s="2" t="s">
        <v>38</v>
      </c>
    </row>
    <row r="55" spans="1:18" x14ac:dyDescent="0.2">
      <c r="A55" s="2" t="s">
        <v>123</v>
      </c>
      <c r="B55" s="3">
        <v>45673</v>
      </c>
      <c r="C55" s="2" t="s">
        <v>62</v>
      </c>
      <c r="D55" s="2" t="s">
        <v>41</v>
      </c>
      <c r="E55" s="2">
        <v>52</v>
      </c>
      <c r="F55" s="2" t="s">
        <v>30</v>
      </c>
      <c r="G55" s="2" t="s">
        <v>36</v>
      </c>
      <c r="H55" s="2" t="s">
        <v>76</v>
      </c>
      <c r="I55" s="2" t="s">
        <v>71</v>
      </c>
      <c r="J55" s="2" t="s">
        <v>46</v>
      </c>
      <c r="K55" s="2">
        <v>1</v>
      </c>
      <c r="L55" s="15">
        <v>10000</v>
      </c>
      <c r="M55" s="2">
        <v>15</v>
      </c>
      <c r="N55" s="15">
        <v>8500</v>
      </c>
      <c r="O55" s="15">
        <v>6000</v>
      </c>
      <c r="P55" s="15">
        <v>2500</v>
      </c>
      <c r="Q55" s="2" t="s">
        <v>47</v>
      </c>
      <c r="R55" s="2" t="s">
        <v>58</v>
      </c>
    </row>
    <row r="56" spans="1:18" x14ac:dyDescent="0.2">
      <c r="A56" s="2" t="s">
        <v>124</v>
      </c>
      <c r="B56" s="3">
        <v>45745</v>
      </c>
      <c r="C56" s="2" t="s">
        <v>56</v>
      </c>
      <c r="D56" s="2" t="s">
        <v>20</v>
      </c>
      <c r="E56" s="2">
        <v>46</v>
      </c>
      <c r="F56" s="2" t="s">
        <v>49</v>
      </c>
      <c r="G56" s="2" t="s">
        <v>43</v>
      </c>
      <c r="H56" s="2" t="s">
        <v>60</v>
      </c>
      <c r="I56" s="2" t="s">
        <v>31</v>
      </c>
      <c r="J56" s="2" t="s">
        <v>95</v>
      </c>
      <c r="K56" s="2">
        <v>1</v>
      </c>
      <c r="L56" s="15">
        <v>15000</v>
      </c>
      <c r="M56" s="2">
        <v>0</v>
      </c>
      <c r="N56" s="15">
        <v>15000</v>
      </c>
      <c r="O56" s="15">
        <v>9000</v>
      </c>
      <c r="P56" s="15">
        <v>6000</v>
      </c>
      <c r="Q56" s="2" t="s">
        <v>47</v>
      </c>
      <c r="R56" s="2" t="s">
        <v>27</v>
      </c>
    </row>
    <row r="57" spans="1:18" x14ac:dyDescent="0.2">
      <c r="A57" s="2" t="s">
        <v>125</v>
      </c>
      <c r="B57" s="3">
        <v>45782</v>
      </c>
      <c r="C57" s="2" t="s">
        <v>78</v>
      </c>
      <c r="D57" s="2" t="s">
        <v>20</v>
      </c>
      <c r="E57" s="2">
        <v>35</v>
      </c>
      <c r="F57" s="2" t="s">
        <v>30</v>
      </c>
      <c r="G57" s="2" t="s">
        <v>43</v>
      </c>
      <c r="H57" s="2" t="s">
        <v>44</v>
      </c>
      <c r="I57" s="2" t="s">
        <v>45</v>
      </c>
      <c r="J57" s="2" t="s">
        <v>52</v>
      </c>
      <c r="K57" s="2">
        <v>2</v>
      </c>
      <c r="L57" s="15">
        <v>20000</v>
      </c>
      <c r="M57" s="2">
        <v>10</v>
      </c>
      <c r="N57" s="15">
        <v>36000</v>
      </c>
      <c r="O57" s="15">
        <v>24000</v>
      </c>
      <c r="P57" s="15">
        <v>12000</v>
      </c>
      <c r="Q57" s="2" t="s">
        <v>26</v>
      </c>
      <c r="R57" s="2" t="s">
        <v>38</v>
      </c>
    </row>
    <row r="58" spans="1:18" x14ac:dyDescent="0.2">
      <c r="A58" s="2" t="s">
        <v>126</v>
      </c>
      <c r="B58" s="3">
        <v>45966</v>
      </c>
      <c r="C58" s="2" t="s">
        <v>40</v>
      </c>
      <c r="D58" s="2" t="s">
        <v>41</v>
      </c>
      <c r="E58" s="2">
        <v>51</v>
      </c>
      <c r="F58" s="2" t="s">
        <v>42</v>
      </c>
      <c r="G58" s="2" t="s">
        <v>69</v>
      </c>
      <c r="H58" s="2" t="s">
        <v>70</v>
      </c>
      <c r="I58" s="2" t="s">
        <v>24</v>
      </c>
      <c r="J58" s="2" t="s">
        <v>95</v>
      </c>
      <c r="K58" s="2">
        <v>1</v>
      </c>
      <c r="L58" s="15">
        <v>22000</v>
      </c>
      <c r="M58" s="2">
        <v>0</v>
      </c>
      <c r="N58" s="15">
        <v>22000</v>
      </c>
      <c r="O58" s="15">
        <v>14000</v>
      </c>
      <c r="P58" s="15">
        <v>8000</v>
      </c>
      <c r="Q58" s="2" t="s">
        <v>64</v>
      </c>
      <c r="R58" s="2" t="s">
        <v>38</v>
      </c>
    </row>
    <row r="59" spans="1:18" x14ac:dyDescent="0.2">
      <c r="A59" s="2" t="s">
        <v>127</v>
      </c>
      <c r="B59" s="3">
        <v>45869</v>
      </c>
      <c r="C59" s="2" t="s">
        <v>81</v>
      </c>
      <c r="D59" s="2" t="s">
        <v>41</v>
      </c>
      <c r="E59" s="2">
        <v>34</v>
      </c>
      <c r="F59" s="2" t="s">
        <v>49</v>
      </c>
      <c r="G59" s="2" t="s">
        <v>36</v>
      </c>
      <c r="H59" s="2" t="s">
        <v>37</v>
      </c>
      <c r="I59" s="2" t="s">
        <v>24</v>
      </c>
      <c r="J59" s="2" t="s">
        <v>32</v>
      </c>
      <c r="K59" s="2">
        <v>2</v>
      </c>
      <c r="L59" s="15">
        <v>8000</v>
      </c>
      <c r="M59" s="2">
        <v>0</v>
      </c>
      <c r="N59" s="15">
        <v>16000</v>
      </c>
      <c r="O59" s="15">
        <v>9000</v>
      </c>
      <c r="P59" s="15">
        <v>7000</v>
      </c>
      <c r="Q59" s="2" t="s">
        <v>64</v>
      </c>
      <c r="R59" s="2" t="s">
        <v>27</v>
      </c>
    </row>
    <row r="60" spans="1:18" x14ac:dyDescent="0.2">
      <c r="A60" s="2" t="s">
        <v>128</v>
      </c>
      <c r="B60" s="3">
        <v>45764</v>
      </c>
      <c r="C60" s="2" t="s">
        <v>40</v>
      </c>
      <c r="D60" s="2" t="s">
        <v>41</v>
      </c>
      <c r="E60" s="2">
        <v>29</v>
      </c>
      <c r="F60" s="2" t="s">
        <v>21</v>
      </c>
      <c r="G60" s="2" t="s">
        <v>43</v>
      </c>
      <c r="H60" s="2" t="s">
        <v>60</v>
      </c>
      <c r="I60" s="2" t="s">
        <v>71</v>
      </c>
      <c r="J60" s="2" t="s">
        <v>25</v>
      </c>
      <c r="K60" s="2">
        <v>1</v>
      </c>
      <c r="L60" s="15">
        <v>15000</v>
      </c>
      <c r="M60" s="2">
        <v>15</v>
      </c>
      <c r="N60" s="15">
        <v>12750</v>
      </c>
      <c r="O60" s="15">
        <v>9000</v>
      </c>
      <c r="P60" s="15">
        <v>3750</v>
      </c>
      <c r="Q60" s="2" t="s">
        <v>26</v>
      </c>
      <c r="R60" s="2" t="s">
        <v>38</v>
      </c>
    </row>
    <row r="61" spans="1:18" x14ac:dyDescent="0.2">
      <c r="A61" s="2" t="s">
        <v>129</v>
      </c>
      <c r="B61" s="3">
        <v>45958</v>
      </c>
      <c r="C61" s="2" t="s">
        <v>89</v>
      </c>
      <c r="D61" s="2" t="s">
        <v>41</v>
      </c>
      <c r="E61" s="2">
        <v>43</v>
      </c>
      <c r="F61" s="2" t="s">
        <v>49</v>
      </c>
      <c r="G61" s="2" t="s">
        <v>36</v>
      </c>
      <c r="H61" s="2" t="s">
        <v>76</v>
      </c>
      <c r="I61" s="2" t="s">
        <v>24</v>
      </c>
      <c r="J61" s="2" t="s">
        <v>46</v>
      </c>
      <c r="K61" s="2">
        <v>3</v>
      </c>
      <c r="L61" s="15">
        <v>10000</v>
      </c>
      <c r="M61" s="2">
        <v>10</v>
      </c>
      <c r="N61" s="15">
        <v>27000</v>
      </c>
      <c r="O61" s="15">
        <v>18000</v>
      </c>
      <c r="P61" s="15">
        <v>9000</v>
      </c>
      <c r="Q61" s="2" t="s">
        <v>26</v>
      </c>
      <c r="R61" s="2" t="s">
        <v>27</v>
      </c>
    </row>
    <row r="62" spans="1:18" x14ac:dyDescent="0.2">
      <c r="A62" s="2" t="s">
        <v>130</v>
      </c>
      <c r="B62" s="3">
        <v>45809</v>
      </c>
      <c r="C62" s="2" t="s">
        <v>19</v>
      </c>
      <c r="D62" s="2" t="s">
        <v>41</v>
      </c>
      <c r="E62" s="2">
        <v>31</v>
      </c>
      <c r="F62" s="2" t="s">
        <v>42</v>
      </c>
      <c r="G62" s="2" t="s">
        <v>69</v>
      </c>
      <c r="H62" s="2" t="s">
        <v>82</v>
      </c>
      <c r="I62" s="2" t="s">
        <v>71</v>
      </c>
      <c r="J62" s="2" t="s">
        <v>52</v>
      </c>
      <c r="K62" s="2">
        <v>3</v>
      </c>
      <c r="L62" s="15">
        <v>25000</v>
      </c>
      <c r="M62" s="2">
        <v>10</v>
      </c>
      <c r="N62" s="15">
        <v>67500</v>
      </c>
      <c r="O62" s="15">
        <v>51000</v>
      </c>
      <c r="P62" s="15">
        <v>16500</v>
      </c>
      <c r="Q62" s="2" t="s">
        <v>64</v>
      </c>
      <c r="R62" s="2" t="s">
        <v>33</v>
      </c>
    </row>
    <row r="63" spans="1:18" x14ac:dyDescent="0.2">
      <c r="A63" s="2" t="s">
        <v>131</v>
      </c>
      <c r="B63" s="3">
        <v>45933</v>
      </c>
      <c r="C63" s="2" t="s">
        <v>62</v>
      </c>
      <c r="D63" s="2" t="s">
        <v>41</v>
      </c>
      <c r="E63" s="2">
        <v>18</v>
      </c>
      <c r="F63" s="2" t="s">
        <v>30</v>
      </c>
      <c r="G63" s="2" t="s">
        <v>69</v>
      </c>
      <c r="H63" s="2" t="s">
        <v>82</v>
      </c>
      <c r="I63" s="2" t="s">
        <v>24</v>
      </c>
      <c r="J63" s="2" t="s">
        <v>25</v>
      </c>
      <c r="K63" s="2">
        <v>2</v>
      </c>
      <c r="L63" s="15">
        <v>25000</v>
      </c>
      <c r="M63" s="2">
        <v>0</v>
      </c>
      <c r="N63" s="15">
        <v>50000</v>
      </c>
      <c r="O63" s="15">
        <v>34000</v>
      </c>
      <c r="P63" s="15">
        <v>16000</v>
      </c>
      <c r="Q63" s="2" t="s">
        <v>26</v>
      </c>
      <c r="R63" s="2" t="s">
        <v>38</v>
      </c>
    </row>
    <row r="64" spans="1:18" x14ac:dyDescent="0.2">
      <c r="A64" s="2" t="s">
        <v>132</v>
      </c>
      <c r="B64" s="3">
        <v>45871</v>
      </c>
      <c r="C64" s="2" t="s">
        <v>86</v>
      </c>
      <c r="D64" s="2" t="s">
        <v>20</v>
      </c>
      <c r="E64" s="2">
        <v>52</v>
      </c>
      <c r="F64" s="2" t="s">
        <v>30</v>
      </c>
      <c r="G64" s="2" t="s">
        <v>50</v>
      </c>
      <c r="H64" s="2" t="s">
        <v>51</v>
      </c>
      <c r="I64" s="2" t="s">
        <v>45</v>
      </c>
      <c r="J64" s="2" t="s">
        <v>66</v>
      </c>
      <c r="K64" s="2">
        <v>2</v>
      </c>
      <c r="L64" s="15">
        <v>16000</v>
      </c>
      <c r="M64" s="2">
        <v>0</v>
      </c>
      <c r="N64" s="15">
        <v>32000</v>
      </c>
      <c r="O64" s="15">
        <v>20000</v>
      </c>
      <c r="P64" s="15">
        <v>12000</v>
      </c>
      <c r="Q64" s="2" t="s">
        <v>64</v>
      </c>
      <c r="R64" s="2" t="s">
        <v>27</v>
      </c>
    </row>
    <row r="65" spans="1:18" x14ac:dyDescent="0.2">
      <c r="A65" s="2" t="s">
        <v>133</v>
      </c>
      <c r="B65" s="3">
        <v>45894</v>
      </c>
      <c r="C65" s="2" t="s">
        <v>35</v>
      </c>
      <c r="D65" s="2" t="s">
        <v>20</v>
      </c>
      <c r="E65" s="2">
        <v>41</v>
      </c>
      <c r="F65" s="2" t="s">
        <v>30</v>
      </c>
      <c r="G65" s="2" t="s">
        <v>69</v>
      </c>
      <c r="H65" s="2" t="s">
        <v>82</v>
      </c>
      <c r="I65" s="2" t="s">
        <v>31</v>
      </c>
      <c r="J65" s="2" t="s">
        <v>32</v>
      </c>
      <c r="K65" s="2">
        <v>3</v>
      </c>
      <c r="L65" s="15">
        <v>25000</v>
      </c>
      <c r="M65" s="2">
        <v>0</v>
      </c>
      <c r="N65" s="15">
        <v>75000</v>
      </c>
      <c r="O65" s="15">
        <v>51000</v>
      </c>
      <c r="P65" s="15">
        <v>24000</v>
      </c>
      <c r="Q65" s="2" t="s">
        <v>64</v>
      </c>
      <c r="R65" s="2" t="s">
        <v>58</v>
      </c>
    </row>
    <row r="66" spans="1:18" x14ac:dyDescent="0.2">
      <c r="A66" s="2" t="s">
        <v>134</v>
      </c>
      <c r="B66" s="3">
        <v>46008</v>
      </c>
      <c r="C66" s="2" t="s">
        <v>40</v>
      </c>
      <c r="D66" s="2" t="s">
        <v>41</v>
      </c>
      <c r="E66" s="2">
        <v>27</v>
      </c>
      <c r="F66" s="2" t="s">
        <v>21</v>
      </c>
      <c r="G66" s="2" t="s">
        <v>22</v>
      </c>
      <c r="H66" s="2" t="s">
        <v>23</v>
      </c>
      <c r="I66" s="2" t="s">
        <v>31</v>
      </c>
      <c r="J66" s="2" t="s">
        <v>46</v>
      </c>
      <c r="K66" s="2">
        <v>3</v>
      </c>
      <c r="L66" s="15">
        <v>15000</v>
      </c>
      <c r="M66" s="2">
        <v>15</v>
      </c>
      <c r="N66" s="15">
        <v>38250</v>
      </c>
      <c r="O66" s="15">
        <v>27000</v>
      </c>
      <c r="P66" s="15">
        <v>11250</v>
      </c>
      <c r="Q66" s="2" t="s">
        <v>64</v>
      </c>
      <c r="R66" s="2" t="s">
        <v>38</v>
      </c>
    </row>
    <row r="67" spans="1:18" x14ac:dyDescent="0.2">
      <c r="A67" s="2" t="s">
        <v>135</v>
      </c>
      <c r="B67" s="3">
        <v>45827</v>
      </c>
      <c r="C67" s="2" t="s">
        <v>62</v>
      </c>
      <c r="D67" s="2" t="s">
        <v>20</v>
      </c>
      <c r="E67" s="2">
        <v>20</v>
      </c>
      <c r="F67" s="2" t="s">
        <v>49</v>
      </c>
      <c r="G67" s="2" t="s">
        <v>22</v>
      </c>
      <c r="H67" s="2" t="s">
        <v>23</v>
      </c>
      <c r="I67" s="2" t="s">
        <v>71</v>
      </c>
      <c r="J67" s="2" t="s">
        <v>52</v>
      </c>
      <c r="K67" s="2">
        <v>1</v>
      </c>
      <c r="L67" s="15">
        <v>15000</v>
      </c>
      <c r="M67" s="2">
        <v>0</v>
      </c>
      <c r="N67" s="15">
        <v>15000</v>
      </c>
      <c r="O67" s="15">
        <v>9000</v>
      </c>
      <c r="P67" s="15">
        <v>6000</v>
      </c>
      <c r="Q67" s="2" t="s">
        <v>47</v>
      </c>
      <c r="R67" s="2" t="s">
        <v>27</v>
      </c>
    </row>
    <row r="68" spans="1:18" x14ac:dyDescent="0.2">
      <c r="A68" s="2" t="s">
        <v>136</v>
      </c>
      <c r="B68" s="3">
        <v>45815</v>
      </c>
      <c r="C68" s="2" t="s">
        <v>29</v>
      </c>
      <c r="D68" s="2" t="s">
        <v>41</v>
      </c>
      <c r="E68" s="2">
        <v>49</v>
      </c>
      <c r="F68" s="2" t="s">
        <v>68</v>
      </c>
      <c r="G68" s="2" t="s">
        <v>43</v>
      </c>
      <c r="H68" s="2" t="s">
        <v>60</v>
      </c>
      <c r="I68" s="2" t="s">
        <v>45</v>
      </c>
      <c r="J68" s="2" t="s">
        <v>52</v>
      </c>
      <c r="K68" s="2">
        <v>2</v>
      </c>
      <c r="L68" s="15">
        <v>15000</v>
      </c>
      <c r="M68" s="2">
        <v>10</v>
      </c>
      <c r="N68" s="15">
        <v>27000</v>
      </c>
      <c r="O68" s="15">
        <v>18000</v>
      </c>
      <c r="P68" s="15">
        <v>9000</v>
      </c>
      <c r="Q68" s="2" t="s">
        <v>47</v>
      </c>
      <c r="R68" s="2" t="s">
        <v>33</v>
      </c>
    </row>
    <row r="69" spans="1:18" x14ac:dyDescent="0.2">
      <c r="A69" s="2" t="s">
        <v>137</v>
      </c>
      <c r="B69" s="3">
        <v>45969</v>
      </c>
      <c r="C69" s="2" t="s">
        <v>73</v>
      </c>
      <c r="D69" s="2" t="s">
        <v>20</v>
      </c>
      <c r="E69" s="2">
        <v>47</v>
      </c>
      <c r="F69" s="2" t="s">
        <v>21</v>
      </c>
      <c r="G69" s="2" t="s">
        <v>22</v>
      </c>
      <c r="H69" s="2" t="s">
        <v>23</v>
      </c>
      <c r="I69" s="2" t="s">
        <v>24</v>
      </c>
      <c r="J69" s="2" t="s">
        <v>46</v>
      </c>
      <c r="K69" s="2">
        <v>3</v>
      </c>
      <c r="L69" s="15">
        <v>15000</v>
      </c>
      <c r="M69" s="2">
        <v>0</v>
      </c>
      <c r="N69" s="15">
        <v>45000</v>
      </c>
      <c r="O69" s="15">
        <v>27000</v>
      </c>
      <c r="P69" s="15">
        <v>18000</v>
      </c>
      <c r="Q69" s="2" t="s">
        <v>64</v>
      </c>
      <c r="R69" s="2" t="s">
        <v>38</v>
      </c>
    </row>
    <row r="70" spans="1:18" x14ac:dyDescent="0.2">
      <c r="A70" s="2" t="s">
        <v>138</v>
      </c>
      <c r="B70" s="3">
        <v>45755</v>
      </c>
      <c r="C70" s="2" t="s">
        <v>54</v>
      </c>
      <c r="D70" s="2" t="s">
        <v>41</v>
      </c>
      <c r="E70" s="2">
        <v>26</v>
      </c>
      <c r="F70" s="2" t="s">
        <v>42</v>
      </c>
      <c r="G70" s="2" t="s">
        <v>69</v>
      </c>
      <c r="H70" s="2" t="s">
        <v>82</v>
      </c>
      <c r="I70" s="2" t="s">
        <v>71</v>
      </c>
      <c r="J70" s="2" t="s">
        <v>32</v>
      </c>
      <c r="K70" s="2">
        <v>4</v>
      </c>
      <c r="L70" s="15">
        <v>25000</v>
      </c>
      <c r="M70" s="2">
        <v>15</v>
      </c>
      <c r="N70" s="15">
        <v>85000</v>
      </c>
      <c r="O70" s="15">
        <v>68000</v>
      </c>
      <c r="P70" s="15">
        <v>17000</v>
      </c>
      <c r="Q70" s="2" t="s">
        <v>64</v>
      </c>
      <c r="R70" s="2" t="s">
        <v>33</v>
      </c>
    </row>
    <row r="71" spans="1:18" x14ac:dyDescent="0.2">
      <c r="A71" s="2" t="s">
        <v>139</v>
      </c>
      <c r="B71" s="3">
        <v>45830</v>
      </c>
      <c r="C71" s="2" t="s">
        <v>35</v>
      </c>
      <c r="D71" s="2" t="s">
        <v>41</v>
      </c>
      <c r="E71" s="2">
        <v>29</v>
      </c>
      <c r="F71" s="2" t="s">
        <v>68</v>
      </c>
      <c r="G71" s="2" t="s">
        <v>69</v>
      </c>
      <c r="H71" s="2" t="s">
        <v>70</v>
      </c>
      <c r="I71" s="2" t="s">
        <v>71</v>
      </c>
      <c r="J71" s="2" t="s">
        <v>46</v>
      </c>
      <c r="K71" s="2">
        <v>1</v>
      </c>
      <c r="L71" s="15">
        <v>22000</v>
      </c>
      <c r="M71" s="2">
        <v>0</v>
      </c>
      <c r="N71" s="15">
        <v>22000</v>
      </c>
      <c r="O71" s="15">
        <v>14000</v>
      </c>
      <c r="P71" s="15">
        <v>8000</v>
      </c>
      <c r="Q71" s="2" t="s">
        <v>26</v>
      </c>
      <c r="R71" s="2" t="s">
        <v>33</v>
      </c>
    </row>
    <row r="72" spans="1:18" x14ac:dyDescent="0.2">
      <c r="A72" s="2" t="s">
        <v>140</v>
      </c>
      <c r="B72" s="3">
        <v>45845</v>
      </c>
      <c r="C72" s="2" t="s">
        <v>89</v>
      </c>
      <c r="D72" s="2" t="s">
        <v>41</v>
      </c>
      <c r="E72" s="2">
        <v>28</v>
      </c>
      <c r="F72" s="2" t="s">
        <v>68</v>
      </c>
      <c r="G72" s="2" t="s">
        <v>50</v>
      </c>
      <c r="H72" s="2" t="s">
        <v>57</v>
      </c>
      <c r="I72" s="2" t="s">
        <v>31</v>
      </c>
      <c r="J72" s="2" t="s">
        <v>95</v>
      </c>
      <c r="K72" s="2">
        <v>2</v>
      </c>
      <c r="L72" s="15">
        <v>14000</v>
      </c>
      <c r="M72" s="2">
        <v>15</v>
      </c>
      <c r="N72" s="15">
        <v>23800</v>
      </c>
      <c r="O72" s="15">
        <v>17000</v>
      </c>
      <c r="P72" s="15">
        <v>6800</v>
      </c>
      <c r="Q72" s="2" t="s">
        <v>47</v>
      </c>
      <c r="R72" s="2" t="s">
        <v>27</v>
      </c>
    </row>
    <row r="73" spans="1:18" x14ac:dyDescent="0.2">
      <c r="A73" s="2" t="s">
        <v>141</v>
      </c>
      <c r="B73" s="3">
        <v>45836</v>
      </c>
      <c r="C73" s="2" t="s">
        <v>81</v>
      </c>
      <c r="D73" s="2" t="s">
        <v>20</v>
      </c>
      <c r="E73" s="2">
        <v>25</v>
      </c>
      <c r="F73" s="2" t="s">
        <v>42</v>
      </c>
      <c r="G73" s="2" t="s">
        <v>69</v>
      </c>
      <c r="H73" s="2" t="s">
        <v>70</v>
      </c>
      <c r="I73" s="2" t="s">
        <v>71</v>
      </c>
      <c r="J73" s="2" t="s">
        <v>66</v>
      </c>
      <c r="K73" s="2">
        <v>3</v>
      </c>
      <c r="L73" s="15">
        <v>22000</v>
      </c>
      <c r="M73" s="2">
        <v>15</v>
      </c>
      <c r="N73" s="15">
        <v>56100</v>
      </c>
      <c r="O73" s="15">
        <v>42000</v>
      </c>
      <c r="P73" s="15">
        <v>14100</v>
      </c>
      <c r="Q73" s="2" t="s">
        <v>47</v>
      </c>
      <c r="R73" s="2" t="s">
        <v>38</v>
      </c>
    </row>
    <row r="74" spans="1:18" x14ac:dyDescent="0.2">
      <c r="A74" s="2" t="s">
        <v>142</v>
      </c>
      <c r="B74" s="3">
        <v>45764</v>
      </c>
      <c r="C74" s="2" t="s">
        <v>78</v>
      </c>
      <c r="D74" s="2" t="s">
        <v>20</v>
      </c>
      <c r="E74" s="2">
        <v>28</v>
      </c>
      <c r="F74" s="2" t="s">
        <v>68</v>
      </c>
      <c r="G74" s="2" t="s">
        <v>69</v>
      </c>
      <c r="H74" s="2" t="s">
        <v>82</v>
      </c>
      <c r="I74" s="2" t="s">
        <v>45</v>
      </c>
      <c r="J74" s="2" t="s">
        <v>46</v>
      </c>
      <c r="K74" s="2">
        <v>3</v>
      </c>
      <c r="L74" s="15">
        <v>25000</v>
      </c>
      <c r="M74" s="2">
        <v>0</v>
      </c>
      <c r="N74" s="15">
        <v>75000</v>
      </c>
      <c r="O74" s="15">
        <v>51000</v>
      </c>
      <c r="P74" s="15">
        <v>24000</v>
      </c>
      <c r="Q74" s="2" t="s">
        <v>26</v>
      </c>
      <c r="R74" s="2" t="s">
        <v>58</v>
      </c>
    </row>
    <row r="75" spans="1:18" x14ac:dyDescent="0.2">
      <c r="A75" s="2" t="s">
        <v>143</v>
      </c>
      <c r="B75" s="3">
        <v>45834</v>
      </c>
      <c r="C75" s="2" t="s">
        <v>40</v>
      </c>
      <c r="D75" s="2" t="s">
        <v>20</v>
      </c>
      <c r="E75" s="2">
        <v>48</v>
      </c>
      <c r="F75" s="2" t="s">
        <v>49</v>
      </c>
      <c r="G75" s="2" t="s">
        <v>50</v>
      </c>
      <c r="H75" s="2" t="s">
        <v>51</v>
      </c>
      <c r="I75" s="2" t="s">
        <v>24</v>
      </c>
      <c r="J75" s="2" t="s">
        <v>25</v>
      </c>
      <c r="K75" s="2">
        <v>1</v>
      </c>
      <c r="L75" s="15">
        <v>16000</v>
      </c>
      <c r="M75" s="2">
        <v>0</v>
      </c>
      <c r="N75" s="15">
        <v>16000</v>
      </c>
      <c r="O75" s="15">
        <v>10000</v>
      </c>
      <c r="P75" s="15">
        <v>6000</v>
      </c>
      <c r="Q75" s="2" t="s">
        <v>64</v>
      </c>
      <c r="R75" s="2" t="s">
        <v>38</v>
      </c>
    </row>
    <row r="76" spans="1:18" x14ac:dyDescent="0.2">
      <c r="A76" s="2" t="s">
        <v>144</v>
      </c>
      <c r="B76" s="3">
        <v>45876</v>
      </c>
      <c r="C76" s="2" t="s">
        <v>35</v>
      </c>
      <c r="D76" s="2" t="s">
        <v>41</v>
      </c>
      <c r="E76" s="2">
        <v>32</v>
      </c>
      <c r="F76" s="2" t="s">
        <v>68</v>
      </c>
      <c r="G76" s="2" t="s">
        <v>22</v>
      </c>
      <c r="H76" s="2" t="s">
        <v>74</v>
      </c>
      <c r="I76" s="2" t="s">
        <v>24</v>
      </c>
      <c r="J76" s="2" t="s">
        <v>46</v>
      </c>
      <c r="K76" s="2">
        <v>3</v>
      </c>
      <c r="L76" s="15">
        <v>18000</v>
      </c>
      <c r="M76" s="2">
        <v>0</v>
      </c>
      <c r="N76" s="15">
        <v>54000</v>
      </c>
      <c r="O76" s="15">
        <v>33000</v>
      </c>
      <c r="P76" s="15">
        <v>21000</v>
      </c>
      <c r="Q76" s="2" t="s">
        <v>26</v>
      </c>
      <c r="R76" s="2" t="s">
        <v>27</v>
      </c>
    </row>
    <row r="77" spans="1:18" x14ac:dyDescent="0.2">
      <c r="A77" s="2" t="s">
        <v>145</v>
      </c>
      <c r="B77" s="3">
        <v>45785</v>
      </c>
      <c r="C77" s="2" t="s">
        <v>91</v>
      </c>
      <c r="D77" s="2" t="s">
        <v>41</v>
      </c>
      <c r="E77" s="2">
        <v>45</v>
      </c>
      <c r="F77" s="2" t="s">
        <v>42</v>
      </c>
      <c r="G77" s="2" t="s">
        <v>43</v>
      </c>
      <c r="H77" s="2" t="s">
        <v>44</v>
      </c>
      <c r="I77" s="2" t="s">
        <v>71</v>
      </c>
      <c r="J77" s="2" t="s">
        <v>95</v>
      </c>
      <c r="K77" s="2">
        <v>3</v>
      </c>
      <c r="L77" s="15">
        <v>20000</v>
      </c>
      <c r="M77" s="2">
        <v>5</v>
      </c>
      <c r="N77" s="15">
        <v>57000</v>
      </c>
      <c r="O77" s="15">
        <v>36000</v>
      </c>
      <c r="P77" s="15">
        <v>21000</v>
      </c>
      <c r="Q77" s="2" t="s">
        <v>47</v>
      </c>
      <c r="R77" s="2" t="s">
        <v>33</v>
      </c>
    </row>
    <row r="78" spans="1:18" x14ac:dyDescent="0.2">
      <c r="A78" s="2" t="s">
        <v>146</v>
      </c>
      <c r="B78" s="3">
        <v>45742</v>
      </c>
      <c r="C78" s="2" t="s">
        <v>56</v>
      </c>
      <c r="D78" s="2" t="s">
        <v>20</v>
      </c>
      <c r="E78" s="2">
        <v>47</v>
      </c>
      <c r="F78" s="2" t="s">
        <v>30</v>
      </c>
      <c r="G78" s="2" t="s">
        <v>36</v>
      </c>
      <c r="H78" s="2" t="s">
        <v>37</v>
      </c>
      <c r="I78" s="2" t="s">
        <v>31</v>
      </c>
      <c r="J78" s="2" t="s">
        <v>46</v>
      </c>
      <c r="K78" s="2">
        <v>4</v>
      </c>
      <c r="L78" s="15">
        <v>8000</v>
      </c>
      <c r="M78" s="2">
        <v>5</v>
      </c>
      <c r="N78" s="15">
        <v>30400</v>
      </c>
      <c r="O78" s="15">
        <v>18000</v>
      </c>
      <c r="P78" s="15">
        <v>12400</v>
      </c>
      <c r="Q78" s="2" t="s">
        <v>26</v>
      </c>
      <c r="R78" s="2" t="s">
        <v>38</v>
      </c>
    </row>
    <row r="79" spans="1:18" x14ac:dyDescent="0.2">
      <c r="A79" s="2" t="s">
        <v>147</v>
      </c>
      <c r="B79" s="3">
        <v>46014</v>
      </c>
      <c r="C79" s="2" t="s">
        <v>29</v>
      </c>
      <c r="D79" s="2" t="s">
        <v>20</v>
      </c>
      <c r="E79" s="2">
        <v>50</v>
      </c>
      <c r="F79" s="2" t="s">
        <v>30</v>
      </c>
      <c r="G79" s="2" t="s">
        <v>50</v>
      </c>
      <c r="H79" s="2" t="s">
        <v>57</v>
      </c>
      <c r="I79" s="2" t="s">
        <v>24</v>
      </c>
      <c r="J79" s="2" t="s">
        <v>32</v>
      </c>
      <c r="K79" s="2">
        <v>3</v>
      </c>
      <c r="L79" s="15">
        <v>14000</v>
      </c>
      <c r="M79" s="2">
        <v>0</v>
      </c>
      <c r="N79" s="15">
        <v>42000</v>
      </c>
      <c r="O79" s="15">
        <v>25500</v>
      </c>
      <c r="P79" s="15">
        <v>16500</v>
      </c>
      <c r="Q79" s="2" t="s">
        <v>26</v>
      </c>
      <c r="R79" s="2" t="s">
        <v>27</v>
      </c>
    </row>
    <row r="80" spans="1:18" x14ac:dyDescent="0.2">
      <c r="A80" s="2" t="s">
        <v>148</v>
      </c>
      <c r="B80" s="3">
        <v>45773</v>
      </c>
      <c r="C80" s="2" t="s">
        <v>40</v>
      </c>
      <c r="D80" s="2" t="s">
        <v>20</v>
      </c>
      <c r="E80" s="2">
        <v>34</v>
      </c>
      <c r="F80" s="2" t="s">
        <v>68</v>
      </c>
      <c r="G80" s="2" t="s">
        <v>43</v>
      </c>
      <c r="H80" s="2" t="s">
        <v>60</v>
      </c>
      <c r="I80" s="2" t="s">
        <v>31</v>
      </c>
      <c r="J80" s="2" t="s">
        <v>25</v>
      </c>
      <c r="K80" s="2">
        <v>2</v>
      </c>
      <c r="L80" s="15">
        <v>15000</v>
      </c>
      <c r="M80" s="2">
        <v>0</v>
      </c>
      <c r="N80" s="15">
        <v>30000</v>
      </c>
      <c r="O80" s="15">
        <v>18000</v>
      </c>
      <c r="P80" s="15">
        <v>12000</v>
      </c>
      <c r="Q80" s="2" t="s">
        <v>26</v>
      </c>
      <c r="R80" s="2" t="s">
        <v>27</v>
      </c>
    </row>
    <row r="81" spans="1:18" x14ac:dyDescent="0.2">
      <c r="A81" s="2" t="s">
        <v>149</v>
      </c>
      <c r="B81" s="3">
        <v>45872</v>
      </c>
      <c r="C81" s="2" t="s">
        <v>78</v>
      </c>
      <c r="D81" s="2" t="s">
        <v>20</v>
      </c>
      <c r="E81" s="2">
        <v>44</v>
      </c>
      <c r="F81" s="2" t="s">
        <v>49</v>
      </c>
      <c r="G81" s="2" t="s">
        <v>22</v>
      </c>
      <c r="H81" s="2" t="s">
        <v>74</v>
      </c>
      <c r="I81" s="2" t="s">
        <v>45</v>
      </c>
      <c r="J81" s="2" t="s">
        <v>32</v>
      </c>
      <c r="K81" s="2">
        <v>2</v>
      </c>
      <c r="L81" s="15">
        <v>18000</v>
      </c>
      <c r="M81" s="2">
        <v>15</v>
      </c>
      <c r="N81" s="15">
        <v>30600</v>
      </c>
      <c r="O81" s="15">
        <v>22000</v>
      </c>
      <c r="P81" s="15">
        <v>8600</v>
      </c>
      <c r="Q81" s="2" t="s">
        <v>47</v>
      </c>
      <c r="R81" s="2" t="s">
        <v>58</v>
      </c>
    </row>
    <row r="82" spans="1:18" x14ac:dyDescent="0.2">
      <c r="A82" s="2" t="s">
        <v>150</v>
      </c>
      <c r="B82" s="3">
        <v>45727</v>
      </c>
      <c r="C82" s="2" t="s">
        <v>56</v>
      </c>
      <c r="D82" s="2" t="s">
        <v>20</v>
      </c>
      <c r="E82" s="2">
        <v>48</v>
      </c>
      <c r="F82" s="2" t="s">
        <v>42</v>
      </c>
      <c r="G82" s="2" t="s">
        <v>69</v>
      </c>
      <c r="H82" s="2" t="s">
        <v>70</v>
      </c>
      <c r="I82" s="2" t="s">
        <v>71</v>
      </c>
      <c r="J82" s="2" t="s">
        <v>25</v>
      </c>
      <c r="K82" s="2">
        <v>4</v>
      </c>
      <c r="L82" s="15">
        <v>22000</v>
      </c>
      <c r="M82" s="2">
        <v>5</v>
      </c>
      <c r="N82" s="15">
        <v>83600</v>
      </c>
      <c r="O82" s="15">
        <v>56000</v>
      </c>
      <c r="P82" s="15">
        <v>27600</v>
      </c>
      <c r="Q82" s="2" t="s">
        <v>26</v>
      </c>
      <c r="R82" s="2" t="s">
        <v>58</v>
      </c>
    </row>
    <row r="83" spans="1:18" x14ac:dyDescent="0.2">
      <c r="A83" s="2" t="s">
        <v>151</v>
      </c>
      <c r="B83" s="3">
        <v>45912</v>
      </c>
      <c r="C83" s="2" t="s">
        <v>81</v>
      </c>
      <c r="D83" s="2" t="s">
        <v>20</v>
      </c>
      <c r="E83" s="2">
        <v>54</v>
      </c>
      <c r="F83" s="2" t="s">
        <v>42</v>
      </c>
      <c r="G83" s="2" t="s">
        <v>36</v>
      </c>
      <c r="H83" s="2" t="s">
        <v>37</v>
      </c>
      <c r="I83" s="2" t="s">
        <v>71</v>
      </c>
      <c r="J83" s="2" t="s">
        <v>25</v>
      </c>
      <c r="K83" s="2">
        <v>2</v>
      </c>
      <c r="L83" s="15">
        <v>8000</v>
      </c>
      <c r="M83" s="2">
        <v>5</v>
      </c>
      <c r="N83" s="15">
        <v>15200</v>
      </c>
      <c r="O83" s="15">
        <v>9000</v>
      </c>
      <c r="P83" s="15">
        <v>6200</v>
      </c>
      <c r="Q83" s="2" t="s">
        <v>64</v>
      </c>
      <c r="R83" s="2" t="s">
        <v>33</v>
      </c>
    </row>
    <row r="84" spans="1:18" x14ac:dyDescent="0.2">
      <c r="A84" s="2" t="s">
        <v>152</v>
      </c>
      <c r="B84" s="3">
        <v>45881</v>
      </c>
      <c r="C84" s="2" t="s">
        <v>86</v>
      </c>
      <c r="D84" s="2" t="s">
        <v>20</v>
      </c>
      <c r="E84" s="2">
        <v>38</v>
      </c>
      <c r="F84" s="2" t="s">
        <v>68</v>
      </c>
      <c r="G84" s="2" t="s">
        <v>69</v>
      </c>
      <c r="H84" s="2" t="s">
        <v>70</v>
      </c>
      <c r="I84" s="2" t="s">
        <v>24</v>
      </c>
      <c r="J84" s="2" t="s">
        <v>32</v>
      </c>
      <c r="K84" s="2">
        <v>1</v>
      </c>
      <c r="L84" s="15">
        <v>22000</v>
      </c>
      <c r="M84" s="2">
        <v>5</v>
      </c>
      <c r="N84" s="15">
        <v>20900</v>
      </c>
      <c r="O84" s="15">
        <v>14000</v>
      </c>
      <c r="P84" s="15">
        <v>6900</v>
      </c>
      <c r="Q84" s="2" t="s">
        <v>64</v>
      </c>
      <c r="R84" s="2" t="s">
        <v>38</v>
      </c>
    </row>
    <row r="85" spans="1:18" x14ac:dyDescent="0.2">
      <c r="A85" s="2" t="s">
        <v>153</v>
      </c>
      <c r="B85" s="3">
        <v>45714</v>
      </c>
      <c r="C85" s="2" t="s">
        <v>29</v>
      </c>
      <c r="D85" s="2" t="s">
        <v>41</v>
      </c>
      <c r="E85" s="2">
        <v>34</v>
      </c>
      <c r="F85" s="2" t="s">
        <v>30</v>
      </c>
      <c r="G85" s="2" t="s">
        <v>36</v>
      </c>
      <c r="H85" s="2" t="s">
        <v>37</v>
      </c>
      <c r="I85" s="2" t="s">
        <v>24</v>
      </c>
      <c r="J85" s="2" t="s">
        <v>25</v>
      </c>
      <c r="K85" s="2">
        <v>1</v>
      </c>
      <c r="L85" s="15">
        <v>8000</v>
      </c>
      <c r="M85" s="2">
        <v>10</v>
      </c>
      <c r="N85" s="15">
        <v>7200</v>
      </c>
      <c r="O85" s="15">
        <v>4500</v>
      </c>
      <c r="P85" s="15">
        <v>2700</v>
      </c>
      <c r="Q85" s="2" t="s">
        <v>64</v>
      </c>
      <c r="R85" s="2" t="s">
        <v>33</v>
      </c>
    </row>
    <row r="86" spans="1:18" x14ac:dyDescent="0.2">
      <c r="A86" s="2" t="s">
        <v>154</v>
      </c>
      <c r="B86" s="3">
        <v>45752</v>
      </c>
      <c r="C86" s="2" t="s">
        <v>86</v>
      </c>
      <c r="D86" s="2" t="s">
        <v>41</v>
      </c>
      <c r="E86" s="2">
        <v>18</v>
      </c>
      <c r="F86" s="2" t="s">
        <v>68</v>
      </c>
      <c r="G86" s="2" t="s">
        <v>36</v>
      </c>
      <c r="H86" s="2" t="s">
        <v>37</v>
      </c>
      <c r="I86" s="2" t="s">
        <v>24</v>
      </c>
      <c r="J86" s="2" t="s">
        <v>66</v>
      </c>
      <c r="K86" s="2">
        <v>3</v>
      </c>
      <c r="L86" s="15">
        <v>8000</v>
      </c>
      <c r="M86" s="2">
        <v>15</v>
      </c>
      <c r="N86" s="15">
        <v>20400</v>
      </c>
      <c r="O86" s="15">
        <v>13500</v>
      </c>
      <c r="P86" s="15">
        <v>6900</v>
      </c>
      <c r="Q86" s="2" t="s">
        <v>64</v>
      </c>
      <c r="R86" s="2" t="s">
        <v>58</v>
      </c>
    </row>
    <row r="87" spans="1:18" x14ac:dyDescent="0.2">
      <c r="A87" s="2" t="s">
        <v>155</v>
      </c>
      <c r="B87" s="3">
        <v>46010</v>
      </c>
      <c r="C87" s="2" t="s">
        <v>29</v>
      </c>
      <c r="D87" s="2" t="s">
        <v>20</v>
      </c>
      <c r="E87" s="2">
        <v>42</v>
      </c>
      <c r="F87" s="2" t="s">
        <v>21</v>
      </c>
      <c r="G87" s="2" t="s">
        <v>22</v>
      </c>
      <c r="H87" s="2" t="s">
        <v>74</v>
      </c>
      <c r="I87" s="2" t="s">
        <v>31</v>
      </c>
      <c r="J87" s="2" t="s">
        <v>32</v>
      </c>
      <c r="K87" s="2">
        <v>3</v>
      </c>
      <c r="L87" s="15">
        <v>18000</v>
      </c>
      <c r="M87" s="2">
        <v>10</v>
      </c>
      <c r="N87" s="15">
        <v>48600</v>
      </c>
      <c r="O87" s="15">
        <v>33000</v>
      </c>
      <c r="P87" s="15">
        <v>15600</v>
      </c>
      <c r="Q87" s="2" t="s">
        <v>26</v>
      </c>
      <c r="R87" s="2" t="s">
        <v>58</v>
      </c>
    </row>
    <row r="88" spans="1:18" x14ac:dyDescent="0.2">
      <c r="A88" s="2" t="s">
        <v>156</v>
      </c>
      <c r="B88" s="3">
        <v>45879</v>
      </c>
      <c r="C88" s="2" t="s">
        <v>81</v>
      </c>
      <c r="D88" s="2" t="s">
        <v>41</v>
      </c>
      <c r="E88" s="2">
        <v>18</v>
      </c>
      <c r="F88" s="2" t="s">
        <v>30</v>
      </c>
      <c r="G88" s="2" t="s">
        <v>22</v>
      </c>
      <c r="H88" s="2" t="s">
        <v>74</v>
      </c>
      <c r="I88" s="2" t="s">
        <v>24</v>
      </c>
      <c r="J88" s="2" t="s">
        <v>25</v>
      </c>
      <c r="K88" s="2">
        <v>1</v>
      </c>
      <c r="L88" s="15">
        <v>18000</v>
      </c>
      <c r="M88" s="2">
        <v>0</v>
      </c>
      <c r="N88" s="15">
        <v>18000</v>
      </c>
      <c r="O88" s="15">
        <v>11000</v>
      </c>
      <c r="P88" s="15">
        <v>7000</v>
      </c>
      <c r="Q88" s="2" t="s">
        <v>47</v>
      </c>
      <c r="R88" s="2" t="s">
        <v>27</v>
      </c>
    </row>
    <row r="89" spans="1:18" x14ac:dyDescent="0.2">
      <c r="A89" s="2" t="s">
        <v>157</v>
      </c>
      <c r="B89" s="3">
        <v>46014</v>
      </c>
      <c r="C89" s="2" t="s">
        <v>91</v>
      </c>
      <c r="D89" s="2" t="s">
        <v>41</v>
      </c>
      <c r="E89" s="2">
        <v>52</v>
      </c>
      <c r="F89" s="2" t="s">
        <v>49</v>
      </c>
      <c r="G89" s="2" t="s">
        <v>36</v>
      </c>
      <c r="H89" s="2" t="s">
        <v>37</v>
      </c>
      <c r="I89" s="2" t="s">
        <v>31</v>
      </c>
      <c r="J89" s="2" t="s">
        <v>52</v>
      </c>
      <c r="K89" s="2">
        <v>1</v>
      </c>
      <c r="L89" s="15">
        <v>8000</v>
      </c>
      <c r="M89" s="2">
        <v>5</v>
      </c>
      <c r="N89" s="15">
        <v>7600</v>
      </c>
      <c r="O89" s="15">
        <v>4500</v>
      </c>
      <c r="P89" s="15">
        <v>3100</v>
      </c>
      <c r="Q89" s="2" t="s">
        <v>64</v>
      </c>
      <c r="R89" s="2" t="s">
        <v>33</v>
      </c>
    </row>
    <row r="90" spans="1:18" x14ac:dyDescent="0.2">
      <c r="A90" s="2" t="s">
        <v>158</v>
      </c>
      <c r="B90" s="3">
        <v>45792</v>
      </c>
      <c r="C90" s="2" t="s">
        <v>81</v>
      </c>
      <c r="D90" s="2" t="s">
        <v>41</v>
      </c>
      <c r="E90" s="2">
        <v>21</v>
      </c>
      <c r="F90" s="2" t="s">
        <v>30</v>
      </c>
      <c r="G90" s="2" t="s">
        <v>50</v>
      </c>
      <c r="H90" s="2" t="s">
        <v>57</v>
      </c>
      <c r="I90" s="2" t="s">
        <v>45</v>
      </c>
      <c r="J90" s="2" t="s">
        <v>52</v>
      </c>
      <c r="K90" s="2">
        <v>2</v>
      </c>
      <c r="L90" s="15">
        <v>14000</v>
      </c>
      <c r="M90" s="2">
        <v>15</v>
      </c>
      <c r="N90" s="15">
        <v>23800</v>
      </c>
      <c r="O90" s="15">
        <v>17000</v>
      </c>
      <c r="P90" s="15">
        <v>6800</v>
      </c>
      <c r="Q90" s="2" t="s">
        <v>26</v>
      </c>
      <c r="R90" s="2" t="s">
        <v>33</v>
      </c>
    </row>
    <row r="91" spans="1:18" x14ac:dyDescent="0.2">
      <c r="A91" s="2" t="s">
        <v>159</v>
      </c>
      <c r="B91" s="3">
        <v>45768</v>
      </c>
      <c r="C91" s="2" t="s">
        <v>78</v>
      </c>
      <c r="D91" s="2" t="s">
        <v>41</v>
      </c>
      <c r="E91" s="2">
        <v>44</v>
      </c>
      <c r="F91" s="2" t="s">
        <v>49</v>
      </c>
      <c r="G91" s="2" t="s">
        <v>36</v>
      </c>
      <c r="H91" s="2" t="s">
        <v>76</v>
      </c>
      <c r="I91" s="2" t="s">
        <v>31</v>
      </c>
      <c r="J91" s="2" t="s">
        <v>95</v>
      </c>
      <c r="K91" s="2">
        <v>4</v>
      </c>
      <c r="L91" s="15">
        <v>10000</v>
      </c>
      <c r="M91" s="2">
        <v>5</v>
      </c>
      <c r="N91" s="15">
        <v>38000</v>
      </c>
      <c r="O91" s="15">
        <v>24000</v>
      </c>
      <c r="P91" s="15">
        <v>14000</v>
      </c>
      <c r="Q91" s="2" t="s">
        <v>47</v>
      </c>
      <c r="R91" s="2" t="s">
        <v>38</v>
      </c>
    </row>
    <row r="92" spans="1:18" x14ac:dyDescent="0.2">
      <c r="A92" s="2" t="s">
        <v>160</v>
      </c>
      <c r="B92" s="3">
        <v>45666</v>
      </c>
      <c r="C92" s="2" t="s">
        <v>86</v>
      </c>
      <c r="D92" s="2" t="s">
        <v>20</v>
      </c>
      <c r="E92" s="2">
        <v>52</v>
      </c>
      <c r="F92" s="2" t="s">
        <v>49</v>
      </c>
      <c r="G92" s="2" t="s">
        <v>50</v>
      </c>
      <c r="H92" s="2" t="s">
        <v>51</v>
      </c>
      <c r="I92" s="2" t="s">
        <v>71</v>
      </c>
      <c r="J92" s="2" t="s">
        <v>66</v>
      </c>
      <c r="K92" s="2">
        <v>4</v>
      </c>
      <c r="L92" s="15">
        <v>16000</v>
      </c>
      <c r="M92" s="2">
        <v>15</v>
      </c>
      <c r="N92" s="15">
        <v>54400</v>
      </c>
      <c r="O92" s="15">
        <v>40000</v>
      </c>
      <c r="P92" s="15">
        <v>14400</v>
      </c>
      <c r="Q92" s="2" t="s">
        <v>64</v>
      </c>
      <c r="R92" s="2" t="s">
        <v>33</v>
      </c>
    </row>
    <row r="93" spans="1:18" x14ac:dyDescent="0.2">
      <c r="A93" s="2" t="s">
        <v>161</v>
      </c>
      <c r="B93" s="3">
        <v>45699</v>
      </c>
      <c r="C93" s="2" t="s">
        <v>89</v>
      </c>
      <c r="D93" s="2" t="s">
        <v>41</v>
      </c>
      <c r="E93" s="2">
        <v>27</v>
      </c>
      <c r="F93" s="2" t="s">
        <v>42</v>
      </c>
      <c r="G93" s="2" t="s">
        <v>43</v>
      </c>
      <c r="H93" s="2" t="s">
        <v>60</v>
      </c>
      <c r="I93" s="2" t="s">
        <v>71</v>
      </c>
      <c r="J93" s="2" t="s">
        <v>66</v>
      </c>
      <c r="K93" s="2">
        <v>2</v>
      </c>
      <c r="L93" s="15">
        <v>15000</v>
      </c>
      <c r="M93" s="2">
        <v>5</v>
      </c>
      <c r="N93" s="15">
        <v>28500</v>
      </c>
      <c r="O93" s="15">
        <v>18000</v>
      </c>
      <c r="P93" s="15">
        <v>10500</v>
      </c>
      <c r="Q93" s="2" t="s">
        <v>64</v>
      </c>
      <c r="R93" s="2" t="s">
        <v>33</v>
      </c>
    </row>
    <row r="94" spans="1:18" x14ac:dyDescent="0.2">
      <c r="A94" s="2" t="s">
        <v>162</v>
      </c>
      <c r="B94" s="3">
        <v>45965</v>
      </c>
      <c r="C94" s="2" t="s">
        <v>54</v>
      </c>
      <c r="D94" s="2" t="s">
        <v>41</v>
      </c>
      <c r="E94" s="2">
        <v>47</v>
      </c>
      <c r="F94" s="2" t="s">
        <v>21</v>
      </c>
      <c r="G94" s="2" t="s">
        <v>69</v>
      </c>
      <c r="H94" s="2" t="s">
        <v>70</v>
      </c>
      <c r="I94" s="2" t="s">
        <v>45</v>
      </c>
      <c r="J94" s="2" t="s">
        <v>66</v>
      </c>
      <c r="K94" s="2">
        <v>3</v>
      </c>
      <c r="L94" s="15">
        <v>22000</v>
      </c>
      <c r="M94" s="2">
        <v>10</v>
      </c>
      <c r="N94" s="15">
        <v>59400</v>
      </c>
      <c r="O94" s="15">
        <v>42000</v>
      </c>
      <c r="P94" s="15">
        <v>17400</v>
      </c>
      <c r="Q94" s="2" t="s">
        <v>47</v>
      </c>
      <c r="R94" s="2" t="s">
        <v>33</v>
      </c>
    </row>
    <row r="95" spans="1:18" x14ac:dyDescent="0.2">
      <c r="A95" s="2" t="s">
        <v>163</v>
      </c>
      <c r="B95" s="3">
        <v>45804</v>
      </c>
      <c r="C95" s="2" t="s">
        <v>40</v>
      </c>
      <c r="D95" s="2" t="s">
        <v>41</v>
      </c>
      <c r="E95" s="2">
        <v>33</v>
      </c>
      <c r="F95" s="2" t="s">
        <v>30</v>
      </c>
      <c r="G95" s="2" t="s">
        <v>22</v>
      </c>
      <c r="H95" s="2" t="s">
        <v>74</v>
      </c>
      <c r="I95" s="2" t="s">
        <v>71</v>
      </c>
      <c r="J95" s="2" t="s">
        <v>66</v>
      </c>
      <c r="K95" s="2">
        <v>3</v>
      </c>
      <c r="L95" s="15">
        <v>18000</v>
      </c>
      <c r="M95" s="2">
        <v>15</v>
      </c>
      <c r="N95" s="15">
        <v>45900</v>
      </c>
      <c r="O95" s="15">
        <v>33000</v>
      </c>
      <c r="P95" s="15">
        <v>12900</v>
      </c>
      <c r="Q95" s="2" t="s">
        <v>47</v>
      </c>
      <c r="R95" s="2" t="s">
        <v>38</v>
      </c>
    </row>
    <row r="96" spans="1:18" x14ac:dyDescent="0.2">
      <c r="A96" s="2" t="s">
        <v>164</v>
      </c>
      <c r="B96" s="3">
        <v>46010</v>
      </c>
      <c r="C96" s="2" t="s">
        <v>40</v>
      </c>
      <c r="D96" s="2" t="s">
        <v>41</v>
      </c>
      <c r="E96" s="2">
        <v>19</v>
      </c>
      <c r="F96" s="2" t="s">
        <v>49</v>
      </c>
      <c r="G96" s="2" t="s">
        <v>43</v>
      </c>
      <c r="H96" s="2" t="s">
        <v>44</v>
      </c>
      <c r="I96" s="2" t="s">
        <v>71</v>
      </c>
      <c r="J96" s="2" t="s">
        <v>52</v>
      </c>
      <c r="K96" s="2">
        <v>1</v>
      </c>
      <c r="L96" s="15">
        <v>20000</v>
      </c>
      <c r="M96" s="2">
        <v>10</v>
      </c>
      <c r="N96" s="15">
        <v>18000</v>
      </c>
      <c r="O96" s="15">
        <v>12000</v>
      </c>
      <c r="P96" s="15">
        <v>6000</v>
      </c>
      <c r="Q96" s="2" t="s">
        <v>64</v>
      </c>
      <c r="R96" s="2" t="s">
        <v>38</v>
      </c>
    </row>
    <row r="97" spans="1:18" x14ac:dyDescent="0.2">
      <c r="A97" s="2" t="s">
        <v>165</v>
      </c>
      <c r="B97" s="3">
        <v>45891</v>
      </c>
      <c r="C97" s="2" t="s">
        <v>40</v>
      </c>
      <c r="D97" s="2" t="s">
        <v>41</v>
      </c>
      <c r="E97" s="2">
        <v>55</v>
      </c>
      <c r="F97" s="2" t="s">
        <v>30</v>
      </c>
      <c r="G97" s="2" t="s">
        <v>50</v>
      </c>
      <c r="H97" s="2" t="s">
        <v>51</v>
      </c>
      <c r="I97" s="2" t="s">
        <v>45</v>
      </c>
      <c r="J97" s="2" t="s">
        <v>25</v>
      </c>
      <c r="K97" s="2">
        <v>2</v>
      </c>
      <c r="L97" s="15">
        <v>16000</v>
      </c>
      <c r="M97" s="2">
        <v>0</v>
      </c>
      <c r="N97" s="15">
        <v>32000</v>
      </c>
      <c r="O97" s="15">
        <v>20000</v>
      </c>
      <c r="P97" s="15">
        <v>12000</v>
      </c>
      <c r="Q97" s="2" t="s">
        <v>26</v>
      </c>
      <c r="R97" s="2" t="s">
        <v>38</v>
      </c>
    </row>
    <row r="98" spans="1:18" x14ac:dyDescent="0.2">
      <c r="A98" s="2" t="s">
        <v>166</v>
      </c>
      <c r="B98" s="3">
        <v>46018</v>
      </c>
      <c r="C98" s="2" t="s">
        <v>81</v>
      </c>
      <c r="D98" s="2" t="s">
        <v>41</v>
      </c>
      <c r="E98" s="2">
        <v>53</v>
      </c>
      <c r="F98" s="2" t="s">
        <v>21</v>
      </c>
      <c r="G98" s="2" t="s">
        <v>69</v>
      </c>
      <c r="H98" s="2" t="s">
        <v>70</v>
      </c>
      <c r="I98" s="2" t="s">
        <v>71</v>
      </c>
      <c r="J98" s="2" t="s">
        <v>66</v>
      </c>
      <c r="K98" s="2">
        <v>1</v>
      </c>
      <c r="L98" s="15">
        <v>22000</v>
      </c>
      <c r="M98" s="2">
        <v>10</v>
      </c>
      <c r="N98" s="15">
        <v>19800</v>
      </c>
      <c r="O98" s="15">
        <v>14000</v>
      </c>
      <c r="P98" s="15">
        <v>5800</v>
      </c>
      <c r="Q98" s="2" t="s">
        <v>64</v>
      </c>
      <c r="R98" s="2" t="s">
        <v>38</v>
      </c>
    </row>
    <row r="99" spans="1:18" x14ac:dyDescent="0.2">
      <c r="A99" s="2" t="s">
        <v>167</v>
      </c>
      <c r="B99" s="3">
        <v>45671</v>
      </c>
      <c r="C99" s="2" t="s">
        <v>29</v>
      </c>
      <c r="D99" s="2" t="s">
        <v>20</v>
      </c>
      <c r="E99" s="2">
        <v>51</v>
      </c>
      <c r="F99" s="2" t="s">
        <v>30</v>
      </c>
      <c r="G99" s="2" t="s">
        <v>43</v>
      </c>
      <c r="H99" s="2" t="s">
        <v>60</v>
      </c>
      <c r="I99" s="2" t="s">
        <v>71</v>
      </c>
      <c r="J99" s="2" t="s">
        <v>66</v>
      </c>
      <c r="K99" s="2">
        <v>1</v>
      </c>
      <c r="L99" s="15">
        <v>15000</v>
      </c>
      <c r="M99" s="2">
        <v>5</v>
      </c>
      <c r="N99" s="15">
        <v>14250</v>
      </c>
      <c r="O99" s="15">
        <v>9000</v>
      </c>
      <c r="P99" s="15">
        <v>5250</v>
      </c>
      <c r="Q99" s="2" t="s">
        <v>47</v>
      </c>
      <c r="R99" s="2" t="s">
        <v>33</v>
      </c>
    </row>
    <row r="100" spans="1:18" x14ac:dyDescent="0.2">
      <c r="A100" s="2" t="s">
        <v>168</v>
      </c>
      <c r="B100" s="3">
        <v>45668</v>
      </c>
      <c r="C100" s="2" t="s">
        <v>81</v>
      </c>
      <c r="D100" s="2" t="s">
        <v>20</v>
      </c>
      <c r="E100" s="2">
        <v>35</v>
      </c>
      <c r="F100" s="2" t="s">
        <v>30</v>
      </c>
      <c r="G100" s="2" t="s">
        <v>50</v>
      </c>
      <c r="H100" s="2" t="s">
        <v>51</v>
      </c>
      <c r="I100" s="2" t="s">
        <v>31</v>
      </c>
      <c r="J100" s="2" t="s">
        <v>46</v>
      </c>
      <c r="K100" s="2">
        <v>2</v>
      </c>
      <c r="L100" s="15">
        <v>16000</v>
      </c>
      <c r="M100" s="2">
        <v>15</v>
      </c>
      <c r="N100" s="15">
        <v>27200</v>
      </c>
      <c r="O100" s="15">
        <v>20000</v>
      </c>
      <c r="P100" s="15">
        <v>7200</v>
      </c>
      <c r="Q100" s="2" t="s">
        <v>26</v>
      </c>
      <c r="R100" s="2" t="s">
        <v>27</v>
      </c>
    </row>
    <row r="101" spans="1:18" x14ac:dyDescent="0.2">
      <c r="A101" s="2" t="s">
        <v>169</v>
      </c>
      <c r="B101" s="3">
        <v>45795</v>
      </c>
      <c r="C101" s="2" t="s">
        <v>78</v>
      </c>
      <c r="D101" s="2" t="s">
        <v>20</v>
      </c>
      <c r="E101" s="2">
        <v>45</v>
      </c>
      <c r="F101" s="2" t="s">
        <v>30</v>
      </c>
      <c r="G101" s="2" t="s">
        <v>43</v>
      </c>
      <c r="H101" s="2" t="s">
        <v>44</v>
      </c>
      <c r="I101" s="2" t="s">
        <v>71</v>
      </c>
      <c r="J101" s="2" t="s">
        <v>95</v>
      </c>
      <c r="K101" s="2">
        <v>4</v>
      </c>
      <c r="L101" s="15">
        <v>20000</v>
      </c>
      <c r="M101" s="2">
        <v>10</v>
      </c>
      <c r="N101" s="15">
        <v>72000</v>
      </c>
      <c r="O101" s="15">
        <v>48000</v>
      </c>
      <c r="P101" s="15">
        <v>24000</v>
      </c>
      <c r="Q101" s="2" t="s">
        <v>64</v>
      </c>
      <c r="R101" s="2" t="s">
        <v>38</v>
      </c>
    </row>
    <row r="102" spans="1:18" x14ac:dyDescent="0.2">
      <c r="A102" s="2" t="s">
        <v>170</v>
      </c>
      <c r="B102" s="3">
        <v>45973</v>
      </c>
      <c r="C102" s="2" t="s">
        <v>62</v>
      </c>
      <c r="D102" s="2" t="s">
        <v>41</v>
      </c>
      <c r="E102" s="2">
        <v>25</v>
      </c>
      <c r="F102" s="2" t="s">
        <v>68</v>
      </c>
      <c r="G102" s="2" t="s">
        <v>69</v>
      </c>
      <c r="H102" s="2" t="s">
        <v>82</v>
      </c>
      <c r="I102" s="2" t="s">
        <v>24</v>
      </c>
      <c r="J102" s="2" t="s">
        <v>32</v>
      </c>
      <c r="K102" s="2">
        <v>4</v>
      </c>
      <c r="L102" s="15">
        <v>25000</v>
      </c>
      <c r="M102" s="2">
        <v>0</v>
      </c>
      <c r="N102" s="15">
        <v>100000</v>
      </c>
      <c r="O102" s="15">
        <v>68000</v>
      </c>
      <c r="P102" s="15">
        <v>32000</v>
      </c>
      <c r="Q102" s="2" t="s">
        <v>47</v>
      </c>
      <c r="R102" s="2" t="s">
        <v>38</v>
      </c>
    </row>
    <row r="103" spans="1:18" x14ac:dyDescent="0.2">
      <c r="A103" s="2" t="s">
        <v>171</v>
      </c>
      <c r="B103" s="3">
        <v>45821</v>
      </c>
      <c r="C103" s="2" t="s">
        <v>62</v>
      </c>
      <c r="D103" s="2" t="s">
        <v>20</v>
      </c>
      <c r="E103" s="2">
        <v>39</v>
      </c>
      <c r="F103" s="2" t="s">
        <v>42</v>
      </c>
      <c r="G103" s="2" t="s">
        <v>69</v>
      </c>
      <c r="H103" s="2" t="s">
        <v>70</v>
      </c>
      <c r="I103" s="2" t="s">
        <v>45</v>
      </c>
      <c r="J103" s="2" t="s">
        <v>25</v>
      </c>
      <c r="K103" s="2">
        <v>4</v>
      </c>
      <c r="L103" s="15">
        <v>22000</v>
      </c>
      <c r="M103" s="2">
        <v>0</v>
      </c>
      <c r="N103" s="15">
        <v>88000</v>
      </c>
      <c r="O103" s="15">
        <v>56000</v>
      </c>
      <c r="P103" s="15">
        <v>32000</v>
      </c>
      <c r="Q103" s="2" t="s">
        <v>47</v>
      </c>
      <c r="R103" s="2" t="s">
        <v>33</v>
      </c>
    </row>
    <row r="104" spans="1:18" x14ac:dyDescent="0.2">
      <c r="A104" s="2" t="s">
        <v>172</v>
      </c>
      <c r="B104" s="3">
        <v>45851</v>
      </c>
      <c r="C104" s="2" t="s">
        <v>54</v>
      </c>
      <c r="D104" s="2" t="s">
        <v>20</v>
      </c>
      <c r="E104" s="2">
        <v>51</v>
      </c>
      <c r="F104" s="2" t="s">
        <v>42</v>
      </c>
      <c r="G104" s="2" t="s">
        <v>69</v>
      </c>
      <c r="H104" s="2" t="s">
        <v>70</v>
      </c>
      <c r="I104" s="2" t="s">
        <v>45</v>
      </c>
      <c r="J104" s="2" t="s">
        <v>25</v>
      </c>
      <c r="K104" s="2">
        <v>1</v>
      </c>
      <c r="L104" s="15">
        <v>22000</v>
      </c>
      <c r="M104" s="2">
        <v>5</v>
      </c>
      <c r="N104" s="15">
        <v>20900</v>
      </c>
      <c r="O104" s="15">
        <v>14000</v>
      </c>
      <c r="P104" s="15">
        <v>6900</v>
      </c>
      <c r="Q104" s="2" t="s">
        <v>47</v>
      </c>
      <c r="R104" s="2" t="s">
        <v>33</v>
      </c>
    </row>
    <row r="105" spans="1:18" x14ac:dyDescent="0.2">
      <c r="A105" s="2" t="s">
        <v>173</v>
      </c>
      <c r="B105" s="3">
        <v>45997</v>
      </c>
      <c r="C105" s="2" t="s">
        <v>54</v>
      </c>
      <c r="D105" s="2" t="s">
        <v>20</v>
      </c>
      <c r="E105" s="2">
        <v>21</v>
      </c>
      <c r="F105" s="2" t="s">
        <v>21</v>
      </c>
      <c r="G105" s="2" t="s">
        <v>36</v>
      </c>
      <c r="H105" s="2" t="s">
        <v>76</v>
      </c>
      <c r="I105" s="2" t="s">
        <v>24</v>
      </c>
      <c r="J105" s="2" t="s">
        <v>95</v>
      </c>
      <c r="K105" s="2">
        <v>2</v>
      </c>
      <c r="L105" s="15">
        <v>10000</v>
      </c>
      <c r="M105" s="2">
        <v>10</v>
      </c>
      <c r="N105" s="15">
        <v>18000</v>
      </c>
      <c r="O105" s="15">
        <v>12000</v>
      </c>
      <c r="P105" s="15">
        <v>6000</v>
      </c>
      <c r="Q105" s="2" t="s">
        <v>26</v>
      </c>
      <c r="R105" s="2" t="s">
        <v>27</v>
      </c>
    </row>
    <row r="106" spans="1:18" x14ac:dyDescent="0.2">
      <c r="A106" s="2" t="s">
        <v>174</v>
      </c>
      <c r="B106" s="3">
        <v>46004</v>
      </c>
      <c r="C106" s="2" t="s">
        <v>78</v>
      </c>
      <c r="D106" s="2" t="s">
        <v>20</v>
      </c>
      <c r="E106" s="2">
        <v>20</v>
      </c>
      <c r="F106" s="2" t="s">
        <v>21</v>
      </c>
      <c r="G106" s="2" t="s">
        <v>50</v>
      </c>
      <c r="H106" s="2" t="s">
        <v>57</v>
      </c>
      <c r="I106" s="2" t="s">
        <v>31</v>
      </c>
      <c r="J106" s="2" t="s">
        <v>32</v>
      </c>
      <c r="K106" s="2">
        <v>1</v>
      </c>
      <c r="L106" s="15">
        <v>14000</v>
      </c>
      <c r="M106" s="2">
        <v>5</v>
      </c>
      <c r="N106" s="15">
        <v>13300</v>
      </c>
      <c r="O106" s="15">
        <v>8500</v>
      </c>
      <c r="P106" s="15">
        <v>4800</v>
      </c>
      <c r="Q106" s="2" t="s">
        <v>64</v>
      </c>
      <c r="R106" s="2" t="s">
        <v>58</v>
      </c>
    </row>
    <row r="107" spans="1:18" x14ac:dyDescent="0.2">
      <c r="A107" s="2" t="s">
        <v>175</v>
      </c>
      <c r="B107" s="3">
        <v>45888</v>
      </c>
      <c r="C107" s="2" t="s">
        <v>62</v>
      </c>
      <c r="D107" s="2" t="s">
        <v>20</v>
      </c>
      <c r="E107" s="2">
        <v>48</v>
      </c>
      <c r="F107" s="2" t="s">
        <v>49</v>
      </c>
      <c r="G107" s="2" t="s">
        <v>43</v>
      </c>
      <c r="H107" s="2" t="s">
        <v>44</v>
      </c>
      <c r="I107" s="2" t="s">
        <v>71</v>
      </c>
      <c r="J107" s="2" t="s">
        <v>52</v>
      </c>
      <c r="K107" s="2">
        <v>4</v>
      </c>
      <c r="L107" s="15">
        <v>20000</v>
      </c>
      <c r="M107" s="2">
        <v>5</v>
      </c>
      <c r="N107" s="15">
        <v>76000</v>
      </c>
      <c r="O107" s="15">
        <v>48000</v>
      </c>
      <c r="P107" s="15">
        <v>28000</v>
      </c>
      <c r="Q107" s="2" t="s">
        <v>64</v>
      </c>
      <c r="R107" s="2" t="s">
        <v>27</v>
      </c>
    </row>
    <row r="108" spans="1:18" x14ac:dyDescent="0.2">
      <c r="A108" s="2" t="s">
        <v>176</v>
      </c>
      <c r="B108" s="3">
        <v>45798</v>
      </c>
      <c r="C108" s="2" t="s">
        <v>73</v>
      </c>
      <c r="D108" s="2" t="s">
        <v>41</v>
      </c>
      <c r="E108" s="2">
        <v>25</v>
      </c>
      <c r="F108" s="2" t="s">
        <v>49</v>
      </c>
      <c r="G108" s="2" t="s">
        <v>50</v>
      </c>
      <c r="H108" s="2" t="s">
        <v>57</v>
      </c>
      <c r="I108" s="2" t="s">
        <v>45</v>
      </c>
      <c r="J108" s="2" t="s">
        <v>32</v>
      </c>
      <c r="K108" s="2">
        <v>1</v>
      </c>
      <c r="L108" s="15">
        <v>14000</v>
      </c>
      <c r="M108" s="2">
        <v>15</v>
      </c>
      <c r="N108" s="15">
        <v>11900</v>
      </c>
      <c r="O108" s="15">
        <v>8500</v>
      </c>
      <c r="P108" s="15">
        <v>3400</v>
      </c>
      <c r="Q108" s="2" t="s">
        <v>64</v>
      </c>
      <c r="R108" s="2" t="s">
        <v>58</v>
      </c>
    </row>
    <row r="109" spans="1:18" x14ac:dyDescent="0.2">
      <c r="A109" s="2" t="s">
        <v>177</v>
      </c>
      <c r="B109" s="3">
        <v>45855</v>
      </c>
      <c r="C109" s="2" t="s">
        <v>91</v>
      </c>
      <c r="D109" s="2" t="s">
        <v>20</v>
      </c>
      <c r="E109" s="2">
        <v>25</v>
      </c>
      <c r="F109" s="2" t="s">
        <v>49</v>
      </c>
      <c r="G109" s="2" t="s">
        <v>36</v>
      </c>
      <c r="H109" s="2" t="s">
        <v>37</v>
      </c>
      <c r="I109" s="2" t="s">
        <v>71</v>
      </c>
      <c r="J109" s="2" t="s">
        <v>32</v>
      </c>
      <c r="K109" s="2">
        <v>4</v>
      </c>
      <c r="L109" s="15">
        <v>8000</v>
      </c>
      <c r="M109" s="2">
        <v>10</v>
      </c>
      <c r="N109" s="15">
        <v>28800</v>
      </c>
      <c r="O109" s="15">
        <v>18000</v>
      </c>
      <c r="P109" s="15">
        <v>10800</v>
      </c>
      <c r="Q109" s="2" t="s">
        <v>64</v>
      </c>
      <c r="R109" s="2" t="s">
        <v>38</v>
      </c>
    </row>
    <row r="110" spans="1:18" x14ac:dyDescent="0.2">
      <c r="A110" s="2" t="s">
        <v>178</v>
      </c>
      <c r="B110" s="3">
        <v>45727</v>
      </c>
      <c r="C110" s="2" t="s">
        <v>29</v>
      </c>
      <c r="D110" s="2" t="s">
        <v>20</v>
      </c>
      <c r="E110" s="2">
        <v>26</v>
      </c>
      <c r="F110" s="2" t="s">
        <v>49</v>
      </c>
      <c r="G110" s="2" t="s">
        <v>50</v>
      </c>
      <c r="H110" s="2" t="s">
        <v>57</v>
      </c>
      <c r="I110" s="2" t="s">
        <v>24</v>
      </c>
      <c r="J110" s="2" t="s">
        <v>46</v>
      </c>
      <c r="K110" s="2">
        <v>3</v>
      </c>
      <c r="L110" s="15">
        <v>14000</v>
      </c>
      <c r="M110" s="2">
        <v>15</v>
      </c>
      <c r="N110" s="15">
        <v>35700</v>
      </c>
      <c r="O110" s="15">
        <v>25500</v>
      </c>
      <c r="P110" s="15">
        <v>10200</v>
      </c>
      <c r="Q110" s="2" t="s">
        <v>64</v>
      </c>
      <c r="R110" s="2" t="s">
        <v>27</v>
      </c>
    </row>
    <row r="111" spans="1:18" x14ac:dyDescent="0.2">
      <c r="A111" s="2" t="s">
        <v>179</v>
      </c>
      <c r="B111" s="3">
        <v>45754</v>
      </c>
      <c r="C111" s="2" t="s">
        <v>73</v>
      </c>
      <c r="D111" s="2" t="s">
        <v>41</v>
      </c>
      <c r="E111" s="2">
        <v>37</v>
      </c>
      <c r="F111" s="2" t="s">
        <v>42</v>
      </c>
      <c r="G111" s="2" t="s">
        <v>50</v>
      </c>
      <c r="H111" s="2" t="s">
        <v>57</v>
      </c>
      <c r="I111" s="2" t="s">
        <v>71</v>
      </c>
      <c r="J111" s="2" t="s">
        <v>52</v>
      </c>
      <c r="K111" s="2">
        <v>1</v>
      </c>
      <c r="L111" s="15">
        <v>14000</v>
      </c>
      <c r="M111" s="2">
        <v>0</v>
      </c>
      <c r="N111" s="15">
        <v>14000</v>
      </c>
      <c r="O111" s="15">
        <v>8500</v>
      </c>
      <c r="P111" s="15">
        <v>5500</v>
      </c>
      <c r="Q111" s="2" t="s">
        <v>64</v>
      </c>
      <c r="R111" s="2" t="s">
        <v>38</v>
      </c>
    </row>
    <row r="112" spans="1:18" x14ac:dyDescent="0.2">
      <c r="A112" s="2" t="s">
        <v>180</v>
      </c>
      <c r="B112" s="3">
        <v>45950</v>
      </c>
      <c r="C112" s="2" t="s">
        <v>40</v>
      </c>
      <c r="D112" s="2" t="s">
        <v>20</v>
      </c>
      <c r="E112" s="2">
        <v>37</v>
      </c>
      <c r="F112" s="2" t="s">
        <v>49</v>
      </c>
      <c r="G112" s="2" t="s">
        <v>69</v>
      </c>
      <c r="H112" s="2" t="s">
        <v>82</v>
      </c>
      <c r="I112" s="2" t="s">
        <v>71</v>
      </c>
      <c r="J112" s="2" t="s">
        <v>32</v>
      </c>
      <c r="K112" s="2">
        <v>3</v>
      </c>
      <c r="L112" s="15">
        <v>25000</v>
      </c>
      <c r="M112" s="2">
        <v>0</v>
      </c>
      <c r="N112" s="15">
        <v>75000</v>
      </c>
      <c r="O112" s="15">
        <v>51000</v>
      </c>
      <c r="P112" s="15">
        <v>24000</v>
      </c>
      <c r="Q112" s="2" t="s">
        <v>64</v>
      </c>
      <c r="R112" s="2" t="s">
        <v>27</v>
      </c>
    </row>
    <row r="113" spans="1:18" x14ac:dyDescent="0.2">
      <c r="A113" s="2" t="s">
        <v>181</v>
      </c>
      <c r="B113" s="3">
        <v>45930</v>
      </c>
      <c r="C113" s="2" t="s">
        <v>89</v>
      </c>
      <c r="D113" s="2" t="s">
        <v>20</v>
      </c>
      <c r="E113" s="2">
        <v>53</v>
      </c>
      <c r="F113" s="2" t="s">
        <v>21</v>
      </c>
      <c r="G113" s="2" t="s">
        <v>50</v>
      </c>
      <c r="H113" s="2" t="s">
        <v>57</v>
      </c>
      <c r="I113" s="2" t="s">
        <v>31</v>
      </c>
      <c r="J113" s="2" t="s">
        <v>32</v>
      </c>
      <c r="K113" s="2">
        <v>4</v>
      </c>
      <c r="L113" s="15">
        <v>14000</v>
      </c>
      <c r="M113" s="2">
        <v>10</v>
      </c>
      <c r="N113" s="15">
        <v>50400</v>
      </c>
      <c r="O113" s="15">
        <v>34000</v>
      </c>
      <c r="P113" s="15">
        <v>16400</v>
      </c>
      <c r="Q113" s="2" t="s">
        <v>64</v>
      </c>
      <c r="R113" s="2" t="s">
        <v>27</v>
      </c>
    </row>
    <row r="114" spans="1:18" x14ac:dyDescent="0.2">
      <c r="A114" s="2" t="s">
        <v>182</v>
      </c>
      <c r="B114" s="3">
        <v>45810</v>
      </c>
      <c r="C114" s="2" t="s">
        <v>73</v>
      </c>
      <c r="D114" s="2" t="s">
        <v>41</v>
      </c>
      <c r="E114" s="2">
        <v>36</v>
      </c>
      <c r="F114" s="2" t="s">
        <v>30</v>
      </c>
      <c r="G114" s="2" t="s">
        <v>36</v>
      </c>
      <c r="H114" s="2" t="s">
        <v>37</v>
      </c>
      <c r="I114" s="2" t="s">
        <v>24</v>
      </c>
      <c r="J114" s="2" t="s">
        <v>46</v>
      </c>
      <c r="K114" s="2">
        <v>4</v>
      </c>
      <c r="L114" s="15">
        <v>8000</v>
      </c>
      <c r="M114" s="2">
        <v>15</v>
      </c>
      <c r="N114" s="15">
        <v>27200</v>
      </c>
      <c r="O114" s="15">
        <v>18000</v>
      </c>
      <c r="P114" s="15">
        <v>9200</v>
      </c>
      <c r="Q114" s="2" t="s">
        <v>26</v>
      </c>
      <c r="R114" s="2" t="s">
        <v>38</v>
      </c>
    </row>
    <row r="115" spans="1:18" x14ac:dyDescent="0.2">
      <c r="A115" s="2" t="s">
        <v>183</v>
      </c>
      <c r="B115" s="3">
        <v>45994</v>
      </c>
      <c r="C115" s="2" t="s">
        <v>78</v>
      </c>
      <c r="D115" s="2" t="s">
        <v>41</v>
      </c>
      <c r="E115" s="2">
        <v>24</v>
      </c>
      <c r="F115" s="2" t="s">
        <v>42</v>
      </c>
      <c r="G115" s="2" t="s">
        <v>43</v>
      </c>
      <c r="H115" s="2" t="s">
        <v>44</v>
      </c>
      <c r="I115" s="2" t="s">
        <v>71</v>
      </c>
      <c r="J115" s="2" t="s">
        <v>95</v>
      </c>
      <c r="K115" s="2">
        <v>1</v>
      </c>
      <c r="L115" s="15">
        <v>20000</v>
      </c>
      <c r="M115" s="2">
        <v>15</v>
      </c>
      <c r="N115" s="15">
        <v>17000</v>
      </c>
      <c r="O115" s="15">
        <v>12000</v>
      </c>
      <c r="P115" s="15">
        <v>5000</v>
      </c>
      <c r="Q115" s="2" t="s">
        <v>64</v>
      </c>
      <c r="R115" s="2" t="s">
        <v>27</v>
      </c>
    </row>
    <row r="116" spans="1:18" x14ac:dyDescent="0.2">
      <c r="A116" s="2" t="s">
        <v>184</v>
      </c>
      <c r="B116" s="3">
        <v>45673</v>
      </c>
      <c r="C116" s="2" t="s">
        <v>35</v>
      </c>
      <c r="D116" s="2" t="s">
        <v>20</v>
      </c>
      <c r="E116" s="2">
        <v>54</v>
      </c>
      <c r="F116" s="2" t="s">
        <v>21</v>
      </c>
      <c r="G116" s="2" t="s">
        <v>43</v>
      </c>
      <c r="H116" s="2" t="s">
        <v>60</v>
      </c>
      <c r="I116" s="2" t="s">
        <v>31</v>
      </c>
      <c r="J116" s="2" t="s">
        <v>46</v>
      </c>
      <c r="K116" s="2">
        <v>4</v>
      </c>
      <c r="L116" s="15">
        <v>15000</v>
      </c>
      <c r="M116" s="2">
        <v>10</v>
      </c>
      <c r="N116" s="15">
        <v>54000</v>
      </c>
      <c r="O116" s="15">
        <v>36000</v>
      </c>
      <c r="P116" s="15">
        <v>18000</v>
      </c>
      <c r="Q116" s="2" t="s">
        <v>47</v>
      </c>
      <c r="R116" s="2" t="s">
        <v>27</v>
      </c>
    </row>
    <row r="117" spans="1:18" x14ac:dyDescent="0.2">
      <c r="A117" s="2" t="s">
        <v>185</v>
      </c>
      <c r="B117" s="3">
        <v>45680</v>
      </c>
      <c r="C117" s="2" t="s">
        <v>91</v>
      </c>
      <c r="D117" s="2" t="s">
        <v>20</v>
      </c>
      <c r="E117" s="2">
        <v>41</v>
      </c>
      <c r="F117" s="2" t="s">
        <v>49</v>
      </c>
      <c r="G117" s="2" t="s">
        <v>43</v>
      </c>
      <c r="H117" s="2" t="s">
        <v>44</v>
      </c>
      <c r="I117" s="2" t="s">
        <v>31</v>
      </c>
      <c r="J117" s="2" t="s">
        <v>95</v>
      </c>
      <c r="K117" s="2">
        <v>4</v>
      </c>
      <c r="L117" s="15">
        <v>20000</v>
      </c>
      <c r="M117" s="2">
        <v>0</v>
      </c>
      <c r="N117" s="15">
        <v>80000</v>
      </c>
      <c r="O117" s="15">
        <v>48000</v>
      </c>
      <c r="P117" s="15">
        <v>32000</v>
      </c>
      <c r="Q117" s="2" t="s">
        <v>64</v>
      </c>
      <c r="R117" s="2" t="s">
        <v>58</v>
      </c>
    </row>
    <row r="118" spans="1:18" x14ac:dyDescent="0.2">
      <c r="A118" s="2" t="s">
        <v>186</v>
      </c>
      <c r="B118" s="3">
        <v>45988</v>
      </c>
      <c r="C118" s="2" t="s">
        <v>62</v>
      </c>
      <c r="D118" s="2" t="s">
        <v>41</v>
      </c>
      <c r="E118" s="2">
        <v>45</v>
      </c>
      <c r="F118" s="2" t="s">
        <v>49</v>
      </c>
      <c r="G118" s="2" t="s">
        <v>69</v>
      </c>
      <c r="H118" s="2" t="s">
        <v>70</v>
      </c>
      <c r="I118" s="2" t="s">
        <v>24</v>
      </c>
      <c r="J118" s="2" t="s">
        <v>25</v>
      </c>
      <c r="K118" s="2">
        <v>2</v>
      </c>
      <c r="L118" s="15">
        <v>22000</v>
      </c>
      <c r="M118" s="2">
        <v>15</v>
      </c>
      <c r="N118" s="15">
        <v>37400</v>
      </c>
      <c r="O118" s="15">
        <v>28000</v>
      </c>
      <c r="P118" s="15">
        <v>9400</v>
      </c>
      <c r="Q118" s="2" t="s">
        <v>26</v>
      </c>
      <c r="R118" s="2" t="s">
        <v>38</v>
      </c>
    </row>
    <row r="119" spans="1:18" x14ac:dyDescent="0.2">
      <c r="A119" s="2" t="s">
        <v>187</v>
      </c>
      <c r="B119" s="3">
        <v>45689</v>
      </c>
      <c r="C119" s="2" t="s">
        <v>54</v>
      </c>
      <c r="D119" s="2" t="s">
        <v>41</v>
      </c>
      <c r="E119" s="2">
        <v>33</v>
      </c>
      <c r="F119" s="2" t="s">
        <v>21</v>
      </c>
      <c r="G119" s="2" t="s">
        <v>22</v>
      </c>
      <c r="H119" s="2" t="s">
        <v>74</v>
      </c>
      <c r="I119" s="2" t="s">
        <v>45</v>
      </c>
      <c r="J119" s="2" t="s">
        <v>32</v>
      </c>
      <c r="K119" s="2">
        <v>2</v>
      </c>
      <c r="L119" s="15">
        <v>18000</v>
      </c>
      <c r="M119" s="2">
        <v>5</v>
      </c>
      <c r="N119" s="15">
        <v>34200</v>
      </c>
      <c r="O119" s="15">
        <v>22000</v>
      </c>
      <c r="P119" s="15">
        <v>12200</v>
      </c>
      <c r="Q119" s="2" t="s">
        <v>26</v>
      </c>
      <c r="R119" s="2" t="s">
        <v>27</v>
      </c>
    </row>
    <row r="120" spans="1:18" x14ac:dyDescent="0.2">
      <c r="A120" s="2" t="s">
        <v>188</v>
      </c>
      <c r="B120" s="3">
        <v>45660</v>
      </c>
      <c r="C120" s="2" t="s">
        <v>19</v>
      </c>
      <c r="D120" s="2" t="s">
        <v>41</v>
      </c>
      <c r="E120" s="2">
        <v>23</v>
      </c>
      <c r="F120" s="2" t="s">
        <v>68</v>
      </c>
      <c r="G120" s="2" t="s">
        <v>22</v>
      </c>
      <c r="H120" s="2" t="s">
        <v>74</v>
      </c>
      <c r="I120" s="2" t="s">
        <v>24</v>
      </c>
      <c r="J120" s="2" t="s">
        <v>25</v>
      </c>
      <c r="K120" s="2">
        <v>1</v>
      </c>
      <c r="L120" s="15">
        <v>18000</v>
      </c>
      <c r="M120" s="2">
        <v>5</v>
      </c>
      <c r="N120" s="15">
        <v>17100</v>
      </c>
      <c r="O120" s="15">
        <v>11000</v>
      </c>
      <c r="P120" s="15">
        <v>6100</v>
      </c>
      <c r="Q120" s="2" t="s">
        <v>64</v>
      </c>
      <c r="R120" s="2" t="s">
        <v>33</v>
      </c>
    </row>
    <row r="121" spans="1:18" x14ac:dyDescent="0.2">
      <c r="A121" s="2" t="s">
        <v>189</v>
      </c>
      <c r="B121" s="3">
        <v>45853</v>
      </c>
      <c r="C121" s="2" t="s">
        <v>40</v>
      </c>
      <c r="D121" s="2" t="s">
        <v>41</v>
      </c>
      <c r="E121" s="2">
        <v>55</v>
      </c>
      <c r="F121" s="2" t="s">
        <v>49</v>
      </c>
      <c r="G121" s="2" t="s">
        <v>43</v>
      </c>
      <c r="H121" s="2" t="s">
        <v>44</v>
      </c>
      <c r="I121" s="2" t="s">
        <v>31</v>
      </c>
      <c r="J121" s="2" t="s">
        <v>95</v>
      </c>
      <c r="K121" s="2">
        <v>4</v>
      </c>
      <c r="L121" s="15">
        <v>20000</v>
      </c>
      <c r="M121" s="2">
        <v>0</v>
      </c>
      <c r="N121" s="15">
        <v>80000</v>
      </c>
      <c r="O121" s="15">
        <v>48000</v>
      </c>
      <c r="P121" s="15">
        <v>32000</v>
      </c>
      <c r="Q121" s="2" t="s">
        <v>26</v>
      </c>
      <c r="R121" s="2" t="s">
        <v>27</v>
      </c>
    </row>
    <row r="122" spans="1:18" x14ac:dyDescent="0.2">
      <c r="A122" s="2" t="s">
        <v>190</v>
      </c>
      <c r="B122" s="3">
        <v>45788</v>
      </c>
      <c r="C122" s="2" t="s">
        <v>40</v>
      </c>
      <c r="D122" s="2" t="s">
        <v>20</v>
      </c>
      <c r="E122" s="2">
        <v>30</v>
      </c>
      <c r="F122" s="2" t="s">
        <v>21</v>
      </c>
      <c r="G122" s="2" t="s">
        <v>22</v>
      </c>
      <c r="H122" s="2" t="s">
        <v>74</v>
      </c>
      <c r="I122" s="2" t="s">
        <v>45</v>
      </c>
      <c r="J122" s="2" t="s">
        <v>52</v>
      </c>
      <c r="K122" s="2">
        <v>4</v>
      </c>
      <c r="L122" s="15">
        <v>18000</v>
      </c>
      <c r="M122" s="2">
        <v>0</v>
      </c>
      <c r="N122" s="15">
        <v>72000</v>
      </c>
      <c r="O122" s="15">
        <v>44000</v>
      </c>
      <c r="P122" s="15">
        <v>28000</v>
      </c>
      <c r="Q122" s="2" t="s">
        <v>64</v>
      </c>
      <c r="R122" s="2" t="s">
        <v>27</v>
      </c>
    </row>
    <row r="123" spans="1:18" x14ac:dyDescent="0.2">
      <c r="A123" s="2" t="s">
        <v>191</v>
      </c>
      <c r="B123" s="3">
        <v>45788</v>
      </c>
      <c r="C123" s="2" t="s">
        <v>81</v>
      </c>
      <c r="D123" s="2" t="s">
        <v>41</v>
      </c>
      <c r="E123" s="2">
        <v>20</v>
      </c>
      <c r="F123" s="2" t="s">
        <v>42</v>
      </c>
      <c r="G123" s="2" t="s">
        <v>69</v>
      </c>
      <c r="H123" s="2" t="s">
        <v>70</v>
      </c>
      <c r="I123" s="2" t="s">
        <v>71</v>
      </c>
      <c r="J123" s="2" t="s">
        <v>46</v>
      </c>
      <c r="K123" s="2">
        <v>2</v>
      </c>
      <c r="L123" s="15">
        <v>22000</v>
      </c>
      <c r="M123" s="2">
        <v>15</v>
      </c>
      <c r="N123" s="15">
        <v>37400</v>
      </c>
      <c r="O123" s="15">
        <v>28000</v>
      </c>
      <c r="P123" s="15">
        <v>9400</v>
      </c>
      <c r="Q123" s="2" t="s">
        <v>64</v>
      </c>
      <c r="R123" s="2" t="s">
        <v>58</v>
      </c>
    </row>
    <row r="124" spans="1:18" x14ac:dyDescent="0.2">
      <c r="A124" s="2" t="s">
        <v>192</v>
      </c>
      <c r="B124" s="3">
        <v>45810</v>
      </c>
      <c r="C124" s="2" t="s">
        <v>91</v>
      </c>
      <c r="D124" s="2" t="s">
        <v>20</v>
      </c>
      <c r="E124" s="2">
        <v>47</v>
      </c>
      <c r="F124" s="2" t="s">
        <v>49</v>
      </c>
      <c r="G124" s="2" t="s">
        <v>36</v>
      </c>
      <c r="H124" s="2" t="s">
        <v>76</v>
      </c>
      <c r="I124" s="2" t="s">
        <v>24</v>
      </c>
      <c r="J124" s="2" t="s">
        <v>95</v>
      </c>
      <c r="K124" s="2">
        <v>1</v>
      </c>
      <c r="L124" s="15">
        <v>10000</v>
      </c>
      <c r="M124" s="2">
        <v>15</v>
      </c>
      <c r="N124" s="15">
        <v>8500</v>
      </c>
      <c r="O124" s="15">
        <v>6000</v>
      </c>
      <c r="P124" s="15">
        <v>2500</v>
      </c>
      <c r="Q124" s="2" t="s">
        <v>47</v>
      </c>
      <c r="R124" s="2" t="s">
        <v>58</v>
      </c>
    </row>
    <row r="125" spans="1:18" x14ac:dyDescent="0.2">
      <c r="A125" s="2" t="s">
        <v>193</v>
      </c>
      <c r="B125" s="3">
        <v>45761</v>
      </c>
      <c r="C125" s="2" t="s">
        <v>73</v>
      </c>
      <c r="D125" s="2" t="s">
        <v>20</v>
      </c>
      <c r="E125" s="2">
        <v>33</v>
      </c>
      <c r="F125" s="2" t="s">
        <v>68</v>
      </c>
      <c r="G125" s="2" t="s">
        <v>22</v>
      </c>
      <c r="H125" s="2" t="s">
        <v>23</v>
      </c>
      <c r="I125" s="2" t="s">
        <v>31</v>
      </c>
      <c r="J125" s="2" t="s">
        <v>52</v>
      </c>
      <c r="K125" s="2">
        <v>1</v>
      </c>
      <c r="L125" s="15">
        <v>15000</v>
      </c>
      <c r="M125" s="2">
        <v>10</v>
      </c>
      <c r="N125" s="15">
        <v>13500</v>
      </c>
      <c r="O125" s="15">
        <v>9000</v>
      </c>
      <c r="P125" s="15">
        <v>4500</v>
      </c>
      <c r="Q125" s="2" t="s">
        <v>64</v>
      </c>
      <c r="R125" s="2" t="s">
        <v>58</v>
      </c>
    </row>
    <row r="126" spans="1:18" x14ac:dyDescent="0.2">
      <c r="A126" s="2" t="s">
        <v>194</v>
      </c>
      <c r="B126" s="3">
        <v>45728</v>
      </c>
      <c r="C126" s="2" t="s">
        <v>73</v>
      </c>
      <c r="D126" s="2" t="s">
        <v>20</v>
      </c>
      <c r="E126" s="2">
        <v>40</v>
      </c>
      <c r="F126" s="2" t="s">
        <v>49</v>
      </c>
      <c r="G126" s="2" t="s">
        <v>43</v>
      </c>
      <c r="H126" s="2" t="s">
        <v>60</v>
      </c>
      <c r="I126" s="2" t="s">
        <v>24</v>
      </c>
      <c r="J126" s="2" t="s">
        <v>95</v>
      </c>
      <c r="K126" s="2">
        <v>4</v>
      </c>
      <c r="L126" s="15">
        <v>15000</v>
      </c>
      <c r="M126" s="2">
        <v>15</v>
      </c>
      <c r="N126" s="15">
        <v>51000</v>
      </c>
      <c r="O126" s="15">
        <v>36000</v>
      </c>
      <c r="P126" s="15">
        <v>15000</v>
      </c>
      <c r="Q126" s="2" t="s">
        <v>47</v>
      </c>
      <c r="R126" s="2" t="s">
        <v>33</v>
      </c>
    </row>
    <row r="127" spans="1:18" x14ac:dyDescent="0.2">
      <c r="A127" s="2" t="s">
        <v>195</v>
      </c>
      <c r="B127" s="3">
        <v>45695</v>
      </c>
      <c r="C127" s="2" t="s">
        <v>81</v>
      </c>
      <c r="D127" s="2" t="s">
        <v>20</v>
      </c>
      <c r="E127" s="2">
        <v>20</v>
      </c>
      <c r="F127" s="2" t="s">
        <v>21</v>
      </c>
      <c r="G127" s="2" t="s">
        <v>69</v>
      </c>
      <c r="H127" s="2" t="s">
        <v>82</v>
      </c>
      <c r="I127" s="2" t="s">
        <v>31</v>
      </c>
      <c r="J127" s="2" t="s">
        <v>95</v>
      </c>
      <c r="K127" s="2">
        <v>1</v>
      </c>
      <c r="L127" s="15">
        <v>25000</v>
      </c>
      <c r="M127" s="2">
        <v>0</v>
      </c>
      <c r="N127" s="15">
        <v>25000</v>
      </c>
      <c r="O127" s="15">
        <v>17000</v>
      </c>
      <c r="P127" s="15">
        <v>8000</v>
      </c>
      <c r="Q127" s="2" t="s">
        <v>64</v>
      </c>
      <c r="R127" s="2" t="s">
        <v>38</v>
      </c>
    </row>
    <row r="128" spans="1:18" x14ac:dyDescent="0.2">
      <c r="A128" s="2" t="s">
        <v>196</v>
      </c>
      <c r="B128" s="3">
        <v>45998</v>
      </c>
      <c r="C128" s="2" t="s">
        <v>62</v>
      </c>
      <c r="D128" s="2" t="s">
        <v>41</v>
      </c>
      <c r="E128" s="2">
        <v>30</v>
      </c>
      <c r="F128" s="2" t="s">
        <v>68</v>
      </c>
      <c r="G128" s="2" t="s">
        <v>69</v>
      </c>
      <c r="H128" s="2" t="s">
        <v>82</v>
      </c>
      <c r="I128" s="2" t="s">
        <v>31</v>
      </c>
      <c r="J128" s="2" t="s">
        <v>52</v>
      </c>
      <c r="K128" s="2">
        <v>4</v>
      </c>
      <c r="L128" s="15">
        <v>25000</v>
      </c>
      <c r="M128" s="2">
        <v>15</v>
      </c>
      <c r="N128" s="15">
        <v>85000</v>
      </c>
      <c r="O128" s="15">
        <v>68000</v>
      </c>
      <c r="P128" s="15">
        <v>17000</v>
      </c>
      <c r="Q128" s="2" t="s">
        <v>47</v>
      </c>
      <c r="R128" s="2" t="s">
        <v>27</v>
      </c>
    </row>
    <row r="129" spans="1:18" x14ac:dyDescent="0.2">
      <c r="A129" s="2" t="s">
        <v>197</v>
      </c>
      <c r="B129" s="3">
        <v>45833</v>
      </c>
      <c r="C129" s="2" t="s">
        <v>91</v>
      </c>
      <c r="D129" s="2" t="s">
        <v>20</v>
      </c>
      <c r="E129" s="2">
        <v>33</v>
      </c>
      <c r="F129" s="2" t="s">
        <v>21</v>
      </c>
      <c r="G129" s="2" t="s">
        <v>50</v>
      </c>
      <c r="H129" s="2" t="s">
        <v>57</v>
      </c>
      <c r="I129" s="2" t="s">
        <v>24</v>
      </c>
      <c r="J129" s="2" t="s">
        <v>52</v>
      </c>
      <c r="K129" s="2">
        <v>4</v>
      </c>
      <c r="L129" s="15">
        <v>14000</v>
      </c>
      <c r="M129" s="2">
        <v>0</v>
      </c>
      <c r="N129" s="15">
        <v>56000</v>
      </c>
      <c r="O129" s="15">
        <v>34000</v>
      </c>
      <c r="P129" s="15">
        <v>22000</v>
      </c>
      <c r="Q129" s="2" t="s">
        <v>26</v>
      </c>
      <c r="R129" s="2" t="s">
        <v>38</v>
      </c>
    </row>
    <row r="130" spans="1:18" x14ac:dyDescent="0.2">
      <c r="A130" s="2" t="s">
        <v>198</v>
      </c>
      <c r="B130" s="3">
        <v>45943</v>
      </c>
      <c r="C130" s="2" t="s">
        <v>62</v>
      </c>
      <c r="D130" s="2" t="s">
        <v>20</v>
      </c>
      <c r="E130" s="2">
        <v>35</v>
      </c>
      <c r="F130" s="2" t="s">
        <v>30</v>
      </c>
      <c r="G130" s="2" t="s">
        <v>50</v>
      </c>
      <c r="H130" s="2" t="s">
        <v>51</v>
      </c>
      <c r="I130" s="2" t="s">
        <v>31</v>
      </c>
      <c r="J130" s="2" t="s">
        <v>66</v>
      </c>
      <c r="K130" s="2">
        <v>1</v>
      </c>
      <c r="L130" s="15">
        <v>16000</v>
      </c>
      <c r="M130" s="2">
        <v>10</v>
      </c>
      <c r="N130" s="15">
        <v>14400</v>
      </c>
      <c r="O130" s="15">
        <v>10000</v>
      </c>
      <c r="P130" s="15">
        <v>4400</v>
      </c>
      <c r="Q130" s="2" t="s">
        <v>47</v>
      </c>
      <c r="R130" s="2" t="s">
        <v>38</v>
      </c>
    </row>
    <row r="131" spans="1:18" x14ac:dyDescent="0.2">
      <c r="A131" s="2" t="s">
        <v>199</v>
      </c>
      <c r="B131" s="3">
        <v>45770</v>
      </c>
      <c r="C131" s="2" t="s">
        <v>29</v>
      </c>
      <c r="D131" s="2" t="s">
        <v>41</v>
      </c>
      <c r="E131" s="2">
        <v>44</v>
      </c>
      <c r="F131" s="2" t="s">
        <v>30</v>
      </c>
      <c r="G131" s="2" t="s">
        <v>36</v>
      </c>
      <c r="H131" s="2" t="s">
        <v>37</v>
      </c>
      <c r="I131" s="2" t="s">
        <v>24</v>
      </c>
      <c r="J131" s="2" t="s">
        <v>95</v>
      </c>
      <c r="K131" s="2">
        <v>1</v>
      </c>
      <c r="L131" s="15">
        <v>8000</v>
      </c>
      <c r="M131" s="2">
        <v>15</v>
      </c>
      <c r="N131" s="15">
        <v>6800</v>
      </c>
      <c r="O131" s="15">
        <v>4500</v>
      </c>
      <c r="P131" s="15">
        <v>2300</v>
      </c>
      <c r="Q131" s="2" t="s">
        <v>26</v>
      </c>
      <c r="R131" s="2" t="s">
        <v>33</v>
      </c>
    </row>
    <row r="132" spans="1:18" x14ac:dyDescent="0.2">
      <c r="A132" s="2" t="s">
        <v>200</v>
      </c>
      <c r="B132" s="3">
        <v>45718</v>
      </c>
      <c r="C132" s="2" t="s">
        <v>56</v>
      </c>
      <c r="D132" s="2" t="s">
        <v>20</v>
      </c>
      <c r="E132" s="2">
        <v>19</v>
      </c>
      <c r="F132" s="2" t="s">
        <v>21</v>
      </c>
      <c r="G132" s="2" t="s">
        <v>69</v>
      </c>
      <c r="H132" s="2" t="s">
        <v>70</v>
      </c>
      <c r="I132" s="2" t="s">
        <v>71</v>
      </c>
      <c r="J132" s="2" t="s">
        <v>95</v>
      </c>
      <c r="K132" s="2">
        <v>4</v>
      </c>
      <c r="L132" s="15">
        <v>22000</v>
      </c>
      <c r="M132" s="2">
        <v>0</v>
      </c>
      <c r="N132" s="15">
        <v>88000</v>
      </c>
      <c r="O132" s="15">
        <v>56000</v>
      </c>
      <c r="P132" s="15">
        <v>32000</v>
      </c>
      <c r="Q132" s="2" t="s">
        <v>64</v>
      </c>
      <c r="R132" s="2" t="s">
        <v>33</v>
      </c>
    </row>
    <row r="133" spans="1:18" x14ac:dyDescent="0.2">
      <c r="A133" s="2" t="s">
        <v>201</v>
      </c>
      <c r="B133" s="3">
        <v>45863</v>
      </c>
      <c r="C133" s="2" t="s">
        <v>91</v>
      </c>
      <c r="D133" s="2" t="s">
        <v>20</v>
      </c>
      <c r="E133" s="2">
        <v>24</v>
      </c>
      <c r="F133" s="2" t="s">
        <v>21</v>
      </c>
      <c r="G133" s="2" t="s">
        <v>36</v>
      </c>
      <c r="H133" s="2" t="s">
        <v>37</v>
      </c>
      <c r="I133" s="2" t="s">
        <v>24</v>
      </c>
      <c r="J133" s="2" t="s">
        <v>46</v>
      </c>
      <c r="K133" s="2">
        <v>3</v>
      </c>
      <c r="L133" s="15">
        <v>8000</v>
      </c>
      <c r="M133" s="2">
        <v>10</v>
      </c>
      <c r="N133" s="15">
        <v>21600</v>
      </c>
      <c r="O133" s="15">
        <v>13500</v>
      </c>
      <c r="P133" s="15">
        <v>8100</v>
      </c>
      <c r="Q133" s="2" t="s">
        <v>26</v>
      </c>
      <c r="R133" s="2" t="s">
        <v>33</v>
      </c>
    </row>
    <row r="134" spans="1:18" x14ac:dyDescent="0.2">
      <c r="A134" s="2" t="s">
        <v>202</v>
      </c>
      <c r="B134" s="3">
        <v>45734</v>
      </c>
      <c r="C134" s="2" t="s">
        <v>54</v>
      </c>
      <c r="D134" s="2" t="s">
        <v>41</v>
      </c>
      <c r="E134" s="2">
        <v>18</v>
      </c>
      <c r="F134" s="2" t="s">
        <v>68</v>
      </c>
      <c r="G134" s="2" t="s">
        <v>69</v>
      </c>
      <c r="H134" s="2" t="s">
        <v>82</v>
      </c>
      <c r="I134" s="2" t="s">
        <v>71</v>
      </c>
      <c r="J134" s="2" t="s">
        <v>46</v>
      </c>
      <c r="K134" s="2">
        <v>3</v>
      </c>
      <c r="L134" s="15">
        <v>25000</v>
      </c>
      <c r="M134" s="2">
        <v>10</v>
      </c>
      <c r="N134" s="15">
        <v>67500</v>
      </c>
      <c r="O134" s="15">
        <v>51000</v>
      </c>
      <c r="P134" s="15">
        <v>16500</v>
      </c>
      <c r="Q134" s="2" t="s">
        <v>64</v>
      </c>
      <c r="R134" s="2" t="s">
        <v>38</v>
      </c>
    </row>
    <row r="135" spans="1:18" x14ac:dyDescent="0.2">
      <c r="A135" s="2" t="s">
        <v>203</v>
      </c>
      <c r="B135" s="3">
        <v>45879</v>
      </c>
      <c r="C135" s="2" t="s">
        <v>86</v>
      </c>
      <c r="D135" s="2" t="s">
        <v>20</v>
      </c>
      <c r="E135" s="2">
        <v>26</v>
      </c>
      <c r="F135" s="2" t="s">
        <v>42</v>
      </c>
      <c r="G135" s="2" t="s">
        <v>36</v>
      </c>
      <c r="H135" s="2" t="s">
        <v>76</v>
      </c>
      <c r="I135" s="2" t="s">
        <v>45</v>
      </c>
      <c r="J135" s="2" t="s">
        <v>52</v>
      </c>
      <c r="K135" s="2">
        <v>2</v>
      </c>
      <c r="L135" s="15">
        <v>10000</v>
      </c>
      <c r="M135" s="2">
        <v>5</v>
      </c>
      <c r="N135" s="15">
        <v>19000</v>
      </c>
      <c r="O135" s="15">
        <v>12000</v>
      </c>
      <c r="P135" s="15">
        <v>7000</v>
      </c>
      <c r="Q135" s="2" t="s">
        <v>47</v>
      </c>
      <c r="R135" s="2" t="s">
        <v>38</v>
      </c>
    </row>
    <row r="136" spans="1:18" x14ac:dyDescent="0.2">
      <c r="A136" s="2" t="s">
        <v>204</v>
      </c>
      <c r="B136" s="3">
        <v>45813</v>
      </c>
      <c r="C136" s="2" t="s">
        <v>54</v>
      </c>
      <c r="D136" s="2" t="s">
        <v>41</v>
      </c>
      <c r="E136" s="2">
        <v>22</v>
      </c>
      <c r="F136" s="2" t="s">
        <v>49</v>
      </c>
      <c r="G136" s="2" t="s">
        <v>69</v>
      </c>
      <c r="H136" s="2" t="s">
        <v>70</v>
      </c>
      <c r="I136" s="2" t="s">
        <v>24</v>
      </c>
      <c r="J136" s="2" t="s">
        <v>66</v>
      </c>
      <c r="K136" s="2">
        <v>1</v>
      </c>
      <c r="L136" s="15">
        <v>22000</v>
      </c>
      <c r="M136" s="2">
        <v>10</v>
      </c>
      <c r="N136" s="15">
        <v>19800</v>
      </c>
      <c r="O136" s="15">
        <v>14000</v>
      </c>
      <c r="P136" s="15">
        <v>5800</v>
      </c>
      <c r="Q136" s="2" t="s">
        <v>47</v>
      </c>
      <c r="R136" s="2" t="s">
        <v>27</v>
      </c>
    </row>
    <row r="137" spans="1:18" x14ac:dyDescent="0.2">
      <c r="A137" s="2" t="s">
        <v>205</v>
      </c>
      <c r="B137" s="3">
        <v>45748</v>
      </c>
      <c r="C137" s="2" t="s">
        <v>54</v>
      </c>
      <c r="D137" s="2" t="s">
        <v>41</v>
      </c>
      <c r="E137" s="2">
        <v>27</v>
      </c>
      <c r="F137" s="2" t="s">
        <v>42</v>
      </c>
      <c r="G137" s="2" t="s">
        <v>50</v>
      </c>
      <c r="H137" s="2" t="s">
        <v>57</v>
      </c>
      <c r="I137" s="2" t="s">
        <v>71</v>
      </c>
      <c r="J137" s="2" t="s">
        <v>32</v>
      </c>
      <c r="K137" s="2">
        <v>3</v>
      </c>
      <c r="L137" s="15">
        <v>14000</v>
      </c>
      <c r="M137" s="2">
        <v>0</v>
      </c>
      <c r="N137" s="15">
        <v>42000</v>
      </c>
      <c r="O137" s="15">
        <v>25500</v>
      </c>
      <c r="P137" s="15">
        <v>16500</v>
      </c>
      <c r="Q137" s="2" t="s">
        <v>64</v>
      </c>
      <c r="R137" s="2" t="s">
        <v>27</v>
      </c>
    </row>
    <row r="138" spans="1:18" x14ac:dyDescent="0.2">
      <c r="A138" s="2" t="s">
        <v>206</v>
      </c>
      <c r="B138" s="3">
        <v>46007</v>
      </c>
      <c r="C138" s="2" t="s">
        <v>54</v>
      </c>
      <c r="D138" s="2" t="s">
        <v>20</v>
      </c>
      <c r="E138" s="2">
        <v>45</v>
      </c>
      <c r="F138" s="2" t="s">
        <v>42</v>
      </c>
      <c r="G138" s="2" t="s">
        <v>22</v>
      </c>
      <c r="H138" s="2" t="s">
        <v>74</v>
      </c>
      <c r="I138" s="2" t="s">
        <v>45</v>
      </c>
      <c r="J138" s="2" t="s">
        <v>46</v>
      </c>
      <c r="K138" s="2">
        <v>4</v>
      </c>
      <c r="L138" s="15">
        <v>18000</v>
      </c>
      <c r="M138" s="2">
        <v>15</v>
      </c>
      <c r="N138" s="15">
        <v>61200</v>
      </c>
      <c r="O138" s="15">
        <v>44000</v>
      </c>
      <c r="P138" s="15">
        <v>17200</v>
      </c>
      <c r="Q138" s="2" t="s">
        <v>47</v>
      </c>
      <c r="R138" s="2" t="s">
        <v>38</v>
      </c>
    </row>
    <row r="139" spans="1:18" x14ac:dyDescent="0.2">
      <c r="A139" s="2" t="s">
        <v>207</v>
      </c>
      <c r="B139" s="3">
        <v>45705</v>
      </c>
      <c r="C139" s="2" t="s">
        <v>40</v>
      </c>
      <c r="D139" s="2" t="s">
        <v>20</v>
      </c>
      <c r="E139" s="2">
        <v>20</v>
      </c>
      <c r="F139" s="2" t="s">
        <v>68</v>
      </c>
      <c r="G139" s="2" t="s">
        <v>36</v>
      </c>
      <c r="H139" s="2" t="s">
        <v>76</v>
      </c>
      <c r="I139" s="2" t="s">
        <v>24</v>
      </c>
      <c r="J139" s="2" t="s">
        <v>25</v>
      </c>
      <c r="K139" s="2">
        <v>2</v>
      </c>
      <c r="L139" s="15">
        <v>10000</v>
      </c>
      <c r="M139" s="2">
        <v>10</v>
      </c>
      <c r="N139" s="15">
        <v>18000</v>
      </c>
      <c r="O139" s="15">
        <v>12000</v>
      </c>
      <c r="P139" s="15">
        <v>6000</v>
      </c>
      <c r="Q139" s="2" t="s">
        <v>47</v>
      </c>
      <c r="R139" s="2" t="s">
        <v>33</v>
      </c>
    </row>
    <row r="140" spans="1:18" x14ac:dyDescent="0.2">
      <c r="A140" s="2" t="s">
        <v>208</v>
      </c>
      <c r="B140" s="3">
        <v>45910</v>
      </c>
      <c r="C140" s="2" t="s">
        <v>35</v>
      </c>
      <c r="D140" s="2" t="s">
        <v>41</v>
      </c>
      <c r="E140" s="2">
        <v>50</v>
      </c>
      <c r="F140" s="2" t="s">
        <v>49</v>
      </c>
      <c r="G140" s="2" t="s">
        <v>69</v>
      </c>
      <c r="H140" s="2" t="s">
        <v>82</v>
      </c>
      <c r="I140" s="2" t="s">
        <v>45</v>
      </c>
      <c r="J140" s="2" t="s">
        <v>46</v>
      </c>
      <c r="K140" s="2">
        <v>4</v>
      </c>
      <c r="L140" s="15">
        <v>25000</v>
      </c>
      <c r="M140" s="2">
        <v>0</v>
      </c>
      <c r="N140" s="15">
        <v>100000</v>
      </c>
      <c r="O140" s="15">
        <v>68000</v>
      </c>
      <c r="P140" s="15">
        <v>32000</v>
      </c>
      <c r="Q140" s="2" t="s">
        <v>47</v>
      </c>
      <c r="R140" s="2" t="s">
        <v>58</v>
      </c>
    </row>
    <row r="141" spans="1:18" x14ac:dyDescent="0.2">
      <c r="A141" s="2" t="s">
        <v>209</v>
      </c>
      <c r="B141" s="3">
        <v>45807</v>
      </c>
      <c r="C141" s="2" t="s">
        <v>62</v>
      </c>
      <c r="D141" s="2" t="s">
        <v>20</v>
      </c>
      <c r="E141" s="2">
        <v>55</v>
      </c>
      <c r="F141" s="2" t="s">
        <v>30</v>
      </c>
      <c r="G141" s="2" t="s">
        <v>43</v>
      </c>
      <c r="H141" s="2" t="s">
        <v>44</v>
      </c>
      <c r="I141" s="2" t="s">
        <v>71</v>
      </c>
      <c r="J141" s="2" t="s">
        <v>66</v>
      </c>
      <c r="K141" s="2">
        <v>3</v>
      </c>
      <c r="L141" s="15">
        <v>20000</v>
      </c>
      <c r="M141" s="2">
        <v>15</v>
      </c>
      <c r="N141" s="15">
        <v>51000</v>
      </c>
      <c r="O141" s="15">
        <v>36000</v>
      </c>
      <c r="P141" s="15">
        <v>15000</v>
      </c>
      <c r="Q141" s="2" t="s">
        <v>26</v>
      </c>
      <c r="R141" s="2" t="s">
        <v>33</v>
      </c>
    </row>
    <row r="142" spans="1:18" x14ac:dyDescent="0.2">
      <c r="A142" s="2" t="s">
        <v>210</v>
      </c>
      <c r="B142" s="3">
        <v>46009</v>
      </c>
      <c r="C142" s="2" t="s">
        <v>78</v>
      </c>
      <c r="D142" s="2" t="s">
        <v>20</v>
      </c>
      <c r="E142" s="2">
        <v>32</v>
      </c>
      <c r="F142" s="2" t="s">
        <v>30</v>
      </c>
      <c r="G142" s="2" t="s">
        <v>43</v>
      </c>
      <c r="H142" s="2" t="s">
        <v>44</v>
      </c>
      <c r="I142" s="2" t="s">
        <v>45</v>
      </c>
      <c r="J142" s="2" t="s">
        <v>52</v>
      </c>
      <c r="K142" s="2">
        <v>1</v>
      </c>
      <c r="L142" s="15">
        <v>20000</v>
      </c>
      <c r="M142" s="2">
        <v>10</v>
      </c>
      <c r="N142" s="15">
        <v>18000</v>
      </c>
      <c r="O142" s="15">
        <v>12000</v>
      </c>
      <c r="P142" s="15">
        <v>6000</v>
      </c>
      <c r="Q142" s="2" t="s">
        <v>47</v>
      </c>
      <c r="R142" s="2" t="s">
        <v>27</v>
      </c>
    </row>
    <row r="143" spans="1:18" x14ac:dyDescent="0.2">
      <c r="A143" s="2" t="s">
        <v>211</v>
      </c>
      <c r="B143" s="3">
        <v>45747</v>
      </c>
      <c r="C143" s="2" t="s">
        <v>91</v>
      </c>
      <c r="D143" s="2" t="s">
        <v>41</v>
      </c>
      <c r="E143" s="2">
        <v>47</v>
      </c>
      <c r="F143" s="2" t="s">
        <v>21</v>
      </c>
      <c r="G143" s="2" t="s">
        <v>36</v>
      </c>
      <c r="H143" s="2" t="s">
        <v>76</v>
      </c>
      <c r="I143" s="2" t="s">
        <v>71</v>
      </c>
      <c r="J143" s="2" t="s">
        <v>52</v>
      </c>
      <c r="K143" s="2">
        <v>2</v>
      </c>
      <c r="L143" s="15">
        <v>10000</v>
      </c>
      <c r="M143" s="2">
        <v>15</v>
      </c>
      <c r="N143" s="15">
        <v>17000</v>
      </c>
      <c r="O143" s="15">
        <v>12000</v>
      </c>
      <c r="P143" s="15">
        <v>5000</v>
      </c>
      <c r="Q143" s="2" t="s">
        <v>47</v>
      </c>
      <c r="R143" s="2" t="s">
        <v>58</v>
      </c>
    </row>
    <row r="144" spans="1:18" x14ac:dyDescent="0.2">
      <c r="A144" s="2" t="s">
        <v>212</v>
      </c>
      <c r="B144" s="3">
        <v>45923</v>
      </c>
      <c r="C144" s="2" t="s">
        <v>73</v>
      </c>
      <c r="D144" s="2" t="s">
        <v>20</v>
      </c>
      <c r="E144" s="2">
        <v>31</v>
      </c>
      <c r="F144" s="2" t="s">
        <v>42</v>
      </c>
      <c r="G144" s="2" t="s">
        <v>36</v>
      </c>
      <c r="H144" s="2" t="s">
        <v>37</v>
      </c>
      <c r="I144" s="2" t="s">
        <v>24</v>
      </c>
      <c r="J144" s="2" t="s">
        <v>32</v>
      </c>
      <c r="K144" s="2">
        <v>3</v>
      </c>
      <c r="L144" s="15">
        <v>8000</v>
      </c>
      <c r="M144" s="2">
        <v>0</v>
      </c>
      <c r="N144" s="15">
        <v>24000</v>
      </c>
      <c r="O144" s="15">
        <v>13500</v>
      </c>
      <c r="P144" s="15">
        <v>10500</v>
      </c>
      <c r="Q144" s="2" t="s">
        <v>47</v>
      </c>
      <c r="R144" s="2" t="s">
        <v>27</v>
      </c>
    </row>
    <row r="145" spans="1:18" x14ac:dyDescent="0.2">
      <c r="A145" s="2" t="s">
        <v>213</v>
      </c>
      <c r="B145" s="3">
        <v>45711</v>
      </c>
      <c r="C145" s="2" t="s">
        <v>89</v>
      </c>
      <c r="D145" s="2" t="s">
        <v>41</v>
      </c>
      <c r="E145" s="2">
        <v>34</v>
      </c>
      <c r="F145" s="2" t="s">
        <v>21</v>
      </c>
      <c r="G145" s="2" t="s">
        <v>43</v>
      </c>
      <c r="H145" s="2" t="s">
        <v>44</v>
      </c>
      <c r="I145" s="2" t="s">
        <v>24</v>
      </c>
      <c r="J145" s="2" t="s">
        <v>25</v>
      </c>
      <c r="K145" s="2">
        <v>2</v>
      </c>
      <c r="L145" s="15">
        <v>20000</v>
      </c>
      <c r="M145" s="2">
        <v>10</v>
      </c>
      <c r="N145" s="15">
        <v>36000</v>
      </c>
      <c r="O145" s="15">
        <v>24000</v>
      </c>
      <c r="P145" s="15">
        <v>12000</v>
      </c>
      <c r="Q145" s="2" t="s">
        <v>26</v>
      </c>
      <c r="R145" s="2" t="s">
        <v>27</v>
      </c>
    </row>
    <row r="146" spans="1:18" x14ac:dyDescent="0.2">
      <c r="A146" s="2" t="s">
        <v>214</v>
      </c>
      <c r="B146" s="3">
        <v>45719</v>
      </c>
      <c r="C146" s="2" t="s">
        <v>89</v>
      </c>
      <c r="D146" s="2" t="s">
        <v>20</v>
      </c>
      <c r="E146" s="2">
        <v>38</v>
      </c>
      <c r="F146" s="2" t="s">
        <v>49</v>
      </c>
      <c r="G146" s="2" t="s">
        <v>50</v>
      </c>
      <c r="H146" s="2" t="s">
        <v>51</v>
      </c>
      <c r="I146" s="2" t="s">
        <v>45</v>
      </c>
      <c r="J146" s="2" t="s">
        <v>32</v>
      </c>
      <c r="K146" s="2">
        <v>2</v>
      </c>
      <c r="L146" s="15">
        <v>16000</v>
      </c>
      <c r="M146" s="2">
        <v>5</v>
      </c>
      <c r="N146" s="15">
        <v>30400</v>
      </c>
      <c r="O146" s="15">
        <v>20000</v>
      </c>
      <c r="P146" s="15">
        <v>10400</v>
      </c>
      <c r="Q146" s="2" t="s">
        <v>26</v>
      </c>
      <c r="R146" s="2" t="s">
        <v>33</v>
      </c>
    </row>
    <row r="147" spans="1:18" x14ac:dyDescent="0.2">
      <c r="A147" s="2" t="s">
        <v>215</v>
      </c>
      <c r="B147" s="3">
        <v>45774</v>
      </c>
      <c r="C147" s="2" t="s">
        <v>89</v>
      </c>
      <c r="D147" s="2" t="s">
        <v>20</v>
      </c>
      <c r="E147" s="2">
        <v>34</v>
      </c>
      <c r="F147" s="2" t="s">
        <v>49</v>
      </c>
      <c r="G147" s="2" t="s">
        <v>43</v>
      </c>
      <c r="H147" s="2" t="s">
        <v>60</v>
      </c>
      <c r="I147" s="2" t="s">
        <v>31</v>
      </c>
      <c r="J147" s="2" t="s">
        <v>25</v>
      </c>
      <c r="K147" s="2">
        <v>2</v>
      </c>
      <c r="L147" s="15">
        <v>15000</v>
      </c>
      <c r="M147" s="2">
        <v>0</v>
      </c>
      <c r="N147" s="15">
        <v>30000</v>
      </c>
      <c r="O147" s="15">
        <v>18000</v>
      </c>
      <c r="P147" s="15">
        <v>12000</v>
      </c>
      <c r="Q147" s="2" t="s">
        <v>26</v>
      </c>
      <c r="R147" s="2" t="s">
        <v>38</v>
      </c>
    </row>
    <row r="148" spans="1:18" x14ac:dyDescent="0.2">
      <c r="A148" s="2" t="s">
        <v>216</v>
      </c>
      <c r="B148" s="3">
        <v>45925</v>
      </c>
      <c r="C148" s="2" t="s">
        <v>86</v>
      </c>
      <c r="D148" s="2" t="s">
        <v>41</v>
      </c>
      <c r="E148" s="2">
        <v>19</v>
      </c>
      <c r="F148" s="2" t="s">
        <v>21</v>
      </c>
      <c r="G148" s="2" t="s">
        <v>36</v>
      </c>
      <c r="H148" s="2" t="s">
        <v>37</v>
      </c>
      <c r="I148" s="2" t="s">
        <v>31</v>
      </c>
      <c r="J148" s="2" t="s">
        <v>66</v>
      </c>
      <c r="K148" s="2">
        <v>2</v>
      </c>
      <c r="L148" s="15">
        <v>8000</v>
      </c>
      <c r="M148" s="2">
        <v>0</v>
      </c>
      <c r="N148" s="15">
        <v>16000</v>
      </c>
      <c r="O148" s="15">
        <v>9000</v>
      </c>
      <c r="P148" s="15">
        <v>7000</v>
      </c>
      <c r="Q148" s="2" t="s">
        <v>64</v>
      </c>
      <c r="R148" s="2" t="s">
        <v>38</v>
      </c>
    </row>
    <row r="149" spans="1:18" x14ac:dyDescent="0.2">
      <c r="A149" s="2" t="s">
        <v>217</v>
      </c>
      <c r="B149" s="3">
        <v>45829</v>
      </c>
      <c r="C149" s="2" t="s">
        <v>62</v>
      </c>
      <c r="D149" s="2" t="s">
        <v>20</v>
      </c>
      <c r="E149" s="2">
        <v>37</v>
      </c>
      <c r="F149" s="2" t="s">
        <v>68</v>
      </c>
      <c r="G149" s="2" t="s">
        <v>43</v>
      </c>
      <c r="H149" s="2" t="s">
        <v>44</v>
      </c>
      <c r="I149" s="2" t="s">
        <v>45</v>
      </c>
      <c r="J149" s="2" t="s">
        <v>52</v>
      </c>
      <c r="K149" s="2">
        <v>1</v>
      </c>
      <c r="L149" s="15">
        <v>20000</v>
      </c>
      <c r="M149" s="2">
        <v>10</v>
      </c>
      <c r="N149" s="15">
        <v>18000</v>
      </c>
      <c r="O149" s="15">
        <v>12000</v>
      </c>
      <c r="P149" s="15">
        <v>6000</v>
      </c>
      <c r="Q149" s="2" t="s">
        <v>47</v>
      </c>
      <c r="R149" s="2" t="s">
        <v>33</v>
      </c>
    </row>
    <row r="150" spans="1:18" x14ac:dyDescent="0.2">
      <c r="A150" s="2" t="s">
        <v>218</v>
      </c>
      <c r="B150" s="3">
        <v>45913</v>
      </c>
      <c r="C150" s="2" t="s">
        <v>19</v>
      </c>
      <c r="D150" s="2" t="s">
        <v>20</v>
      </c>
      <c r="E150" s="2">
        <v>35</v>
      </c>
      <c r="F150" s="2" t="s">
        <v>30</v>
      </c>
      <c r="G150" s="2" t="s">
        <v>50</v>
      </c>
      <c r="H150" s="2" t="s">
        <v>57</v>
      </c>
      <c r="I150" s="2" t="s">
        <v>31</v>
      </c>
      <c r="J150" s="2" t="s">
        <v>66</v>
      </c>
      <c r="K150" s="2">
        <v>1</v>
      </c>
      <c r="L150" s="15">
        <v>14000</v>
      </c>
      <c r="M150" s="2">
        <v>0</v>
      </c>
      <c r="N150" s="15">
        <v>14000</v>
      </c>
      <c r="O150" s="15">
        <v>8500</v>
      </c>
      <c r="P150" s="15">
        <v>5500</v>
      </c>
      <c r="Q150" s="2" t="s">
        <v>64</v>
      </c>
      <c r="R150" s="2" t="s">
        <v>33</v>
      </c>
    </row>
    <row r="151" spans="1:18" x14ac:dyDescent="0.2">
      <c r="A151" s="2" t="s">
        <v>219</v>
      </c>
      <c r="B151" s="3">
        <v>45727</v>
      </c>
      <c r="C151" s="2" t="s">
        <v>62</v>
      </c>
      <c r="D151" s="2" t="s">
        <v>20</v>
      </c>
      <c r="E151" s="2">
        <v>25</v>
      </c>
      <c r="F151" s="2" t="s">
        <v>49</v>
      </c>
      <c r="G151" s="2" t="s">
        <v>50</v>
      </c>
      <c r="H151" s="2" t="s">
        <v>57</v>
      </c>
      <c r="I151" s="2" t="s">
        <v>24</v>
      </c>
      <c r="J151" s="2" t="s">
        <v>46</v>
      </c>
      <c r="K151" s="2">
        <v>3</v>
      </c>
      <c r="L151" s="15">
        <v>14000</v>
      </c>
      <c r="M151" s="2">
        <v>10</v>
      </c>
      <c r="N151" s="15">
        <v>37800</v>
      </c>
      <c r="O151" s="15">
        <v>25500</v>
      </c>
      <c r="P151" s="15">
        <v>12300</v>
      </c>
      <c r="Q151" s="2" t="s">
        <v>26</v>
      </c>
      <c r="R151" s="2" t="s">
        <v>27</v>
      </c>
    </row>
    <row r="152" spans="1:18" x14ac:dyDescent="0.2">
      <c r="A152" s="2" t="s">
        <v>220</v>
      </c>
      <c r="B152" s="3">
        <v>45847</v>
      </c>
      <c r="C152" s="2" t="s">
        <v>56</v>
      </c>
      <c r="D152" s="2" t="s">
        <v>41</v>
      </c>
      <c r="E152" s="2">
        <v>21</v>
      </c>
      <c r="F152" s="2" t="s">
        <v>68</v>
      </c>
      <c r="G152" s="2" t="s">
        <v>43</v>
      </c>
      <c r="H152" s="2" t="s">
        <v>60</v>
      </c>
      <c r="I152" s="2" t="s">
        <v>45</v>
      </c>
      <c r="J152" s="2" t="s">
        <v>25</v>
      </c>
      <c r="K152" s="2">
        <v>3</v>
      </c>
      <c r="L152" s="15">
        <v>15000</v>
      </c>
      <c r="M152" s="2">
        <v>15</v>
      </c>
      <c r="N152" s="15">
        <v>38250</v>
      </c>
      <c r="O152" s="15">
        <v>27000</v>
      </c>
      <c r="P152" s="15">
        <v>11250</v>
      </c>
      <c r="Q152" s="2" t="s">
        <v>26</v>
      </c>
      <c r="R152" s="2" t="s">
        <v>33</v>
      </c>
    </row>
    <row r="153" spans="1:18" x14ac:dyDescent="0.2">
      <c r="A153" s="2" t="s">
        <v>221</v>
      </c>
      <c r="B153" s="3">
        <v>45699</v>
      </c>
      <c r="C153" s="2" t="s">
        <v>81</v>
      </c>
      <c r="D153" s="2" t="s">
        <v>41</v>
      </c>
      <c r="E153" s="2">
        <v>23</v>
      </c>
      <c r="F153" s="2" t="s">
        <v>21</v>
      </c>
      <c r="G153" s="2" t="s">
        <v>69</v>
      </c>
      <c r="H153" s="2" t="s">
        <v>70</v>
      </c>
      <c r="I153" s="2" t="s">
        <v>31</v>
      </c>
      <c r="J153" s="2" t="s">
        <v>46</v>
      </c>
      <c r="K153" s="2">
        <v>2</v>
      </c>
      <c r="L153" s="15">
        <v>22000</v>
      </c>
      <c r="M153" s="2">
        <v>10</v>
      </c>
      <c r="N153" s="15">
        <v>39600</v>
      </c>
      <c r="O153" s="15">
        <v>28000</v>
      </c>
      <c r="P153" s="15">
        <v>11600</v>
      </c>
      <c r="Q153" s="2" t="s">
        <v>64</v>
      </c>
      <c r="R153" s="2" t="s">
        <v>33</v>
      </c>
    </row>
    <row r="154" spans="1:18" x14ac:dyDescent="0.2">
      <c r="A154" s="2" t="s">
        <v>222</v>
      </c>
      <c r="B154" s="3">
        <v>45881</v>
      </c>
      <c r="C154" s="2" t="s">
        <v>62</v>
      </c>
      <c r="D154" s="2" t="s">
        <v>41</v>
      </c>
      <c r="E154" s="2">
        <v>51</v>
      </c>
      <c r="F154" s="2" t="s">
        <v>30</v>
      </c>
      <c r="G154" s="2" t="s">
        <v>69</v>
      </c>
      <c r="H154" s="2" t="s">
        <v>70</v>
      </c>
      <c r="I154" s="2" t="s">
        <v>45</v>
      </c>
      <c r="J154" s="2" t="s">
        <v>52</v>
      </c>
      <c r="K154" s="2">
        <v>2</v>
      </c>
      <c r="L154" s="15">
        <v>22000</v>
      </c>
      <c r="M154" s="2">
        <v>10</v>
      </c>
      <c r="N154" s="15">
        <v>39600</v>
      </c>
      <c r="O154" s="15">
        <v>28000</v>
      </c>
      <c r="P154" s="15">
        <v>11600</v>
      </c>
      <c r="Q154" s="2" t="s">
        <v>47</v>
      </c>
      <c r="R154" s="2" t="s">
        <v>27</v>
      </c>
    </row>
    <row r="155" spans="1:18" x14ac:dyDescent="0.2">
      <c r="A155" s="2" t="s">
        <v>223</v>
      </c>
      <c r="B155" s="3">
        <v>45765</v>
      </c>
      <c r="C155" s="2" t="s">
        <v>35</v>
      </c>
      <c r="D155" s="2" t="s">
        <v>41</v>
      </c>
      <c r="E155" s="2">
        <v>31</v>
      </c>
      <c r="F155" s="2" t="s">
        <v>68</v>
      </c>
      <c r="G155" s="2" t="s">
        <v>22</v>
      </c>
      <c r="H155" s="2" t="s">
        <v>23</v>
      </c>
      <c r="I155" s="2" t="s">
        <v>71</v>
      </c>
      <c r="J155" s="2" t="s">
        <v>52</v>
      </c>
      <c r="K155" s="2">
        <v>4</v>
      </c>
      <c r="L155" s="15">
        <v>15000</v>
      </c>
      <c r="M155" s="2">
        <v>5</v>
      </c>
      <c r="N155" s="15">
        <v>57000</v>
      </c>
      <c r="O155" s="15">
        <v>36000</v>
      </c>
      <c r="P155" s="15">
        <v>21000</v>
      </c>
      <c r="Q155" s="2" t="s">
        <v>26</v>
      </c>
      <c r="R155" s="2" t="s">
        <v>58</v>
      </c>
    </row>
    <row r="156" spans="1:18" x14ac:dyDescent="0.2">
      <c r="A156" s="2" t="s">
        <v>224</v>
      </c>
      <c r="B156" s="3">
        <v>45942</v>
      </c>
      <c r="C156" s="2" t="s">
        <v>62</v>
      </c>
      <c r="D156" s="2" t="s">
        <v>41</v>
      </c>
      <c r="E156" s="2">
        <v>45</v>
      </c>
      <c r="F156" s="2" t="s">
        <v>42</v>
      </c>
      <c r="G156" s="2" t="s">
        <v>43</v>
      </c>
      <c r="H156" s="2" t="s">
        <v>60</v>
      </c>
      <c r="I156" s="2" t="s">
        <v>71</v>
      </c>
      <c r="J156" s="2" t="s">
        <v>25</v>
      </c>
      <c r="K156" s="2">
        <v>2</v>
      </c>
      <c r="L156" s="15">
        <v>15000</v>
      </c>
      <c r="M156" s="2">
        <v>10</v>
      </c>
      <c r="N156" s="15">
        <v>27000</v>
      </c>
      <c r="O156" s="15">
        <v>18000</v>
      </c>
      <c r="P156" s="15">
        <v>9000</v>
      </c>
      <c r="Q156" s="2" t="s">
        <v>47</v>
      </c>
      <c r="R156" s="2" t="s">
        <v>38</v>
      </c>
    </row>
    <row r="157" spans="1:18" x14ac:dyDescent="0.2">
      <c r="A157" s="2" t="s">
        <v>225</v>
      </c>
      <c r="B157" s="3">
        <v>45982</v>
      </c>
      <c r="C157" s="2" t="s">
        <v>62</v>
      </c>
      <c r="D157" s="2" t="s">
        <v>41</v>
      </c>
      <c r="E157" s="2">
        <v>22</v>
      </c>
      <c r="F157" s="2" t="s">
        <v>30</v>
      </c>
      <c r="G157" s="2" t="s">
        <v>69</v>
      </c>
      <c r="H157" s="2" t="s">
        <v>70</v>
      </c>
      <c r="I157" s="2" t="s">
        <v>45</v>
      </c>
      <c r="J157" s="2" t="s">
        <v>32</v>
      </c>
      <c r="K157" s="2">
        <v>2</v>
      </c>
      <c r="L157" s="15">
        <v>22000</v>
      </c>
      <c r="M157" s="2">
        <v>15</v>
      </c>
      <c r="N157" s="15">
        <v>37400</v>
      </c>
      <c r="O157" s="15">
        <v>28000</v>
      </c>
      <c r="P157" s="15">
        <v>9400</v>
      </c>
      <c r="Q157" s="2" t="s">
        <v>26</v>
      </c>
      <c r="R157" s="2" t="s">
        <v>33</v>
      </c>
    </row>
    <row r="158" spans="1:18" x14ac:dyDescent="0.2">
      <c r="A158" s="2" t="s">
        <v>226</v>
      </c>
      <c r="B158" s="3">
        <v>45817</v>
      </c>
      <c r="C158" s="2" t="s">
        <v>35</v>
      </c>
      <c r="D158" s="2" t="s">
        <v>20</v>
      </c>
      <c r="E158" s="2">
        <v>18</v>
      </c>
      <c r="F158" s="2" t="s">
        <v>30</v>
      </c>
      <c r="G158" s="2" t="s">
        <v>43</v>
      </c>
      <c r="H158" s="2" t="s">
        <v>44</v>
      </c>
      <c r="I158" s="2" t="s">
        <v>71</v>
      </c>
      <c r="J158" s="2" t="s">
        <v>52</v>
      </c>
      <c r="K158" s="2">
        <v>1</v>
      </c>
      <c r="L158" s="15">
        <v>20000</v>
      </c>
      <c r="M158" s="2">
        <v>15</v>
      </c>
      <c r="N158" s="15">
        <v>17000</v>
      </c>
      <c r="O158" s="15">
        <v>12000</v>
      </c>
      <c r="P158" s="15">
        <v>5000</v>
      </c>
      <c r="Q158" s="2" t="s">
        <v>26</v>
      </c>
      <c r="R158" s="2" t="s">
        <v>27</v>
      </c>
    </row>
    <row r="159" spans="1:18" x14ac:dyDescent="0.2">
      <c r="A159" s="2" t="s">
        <v>227</v>
      </c>
      <c r="B159" s="3">
        <v>45839</v>
      </c>
      <c r="C159" s="2" t="s">
        <v>62</v>
      </c>
      <c r="D159" s="2" t="s">
        <v>41</v>
      </c>
      <c r="E159" s="2">
        <v>54</v>
      </c>
      <c r="F159" s="2" t="s">
        <v>30</v>
      </c>
      <c r="G159" s="2" t="s">
        <v>69</v>
      </c>
      <c r="H159" s="2" t="s">
        <v>70</v>
      </c>
      <c r="I159" s="2" t="s">
        <v>31</v>
      </c>
      <c r="J159" s="2" t="s">
        <v>46</v>
      </c>
      <c r="K159" s="2">
        <v>1</v>
      </c>
      <c r="L159" s="15">
        <v>22000</v>
      </c>
      <c r="M159" s="2">
        <v>0</v>
      </c>
      <c r="N159" s="15">
        <v>22000</v>
      </c>
      <c r="O159" s="15">
        <v>14000</v>
      </c>
      <c r="P159" s="15">
        <v>8000</v>
      </c>
      <c r="Q159" s="2" t="s">
        <v>26</v>
      </c>
      <c r="R159" s="2" t="s">
        <v>27</v>
      </c>
    </row>
    <row r="160" spans="1:18" x14ac:dyDescent="0.2">
      <c r="A160" s="2" t="s">
        <v>228</v>
      </c>
      <c r="B160" s="3">
        <v>45883</v>
      </c>
      <c r="C160" s="2" t="s">
        <v>54</v>
      </c>
      <c r="D160" s="2" t="s">
        <v>20</v>
      </c>
      <c r="E160" s="2">
        <v>52</v>
      </c>
      <c r="F160" s="2" t="s">
        <v>30</v>
      </c>
      <c r="G160" s="2" t="s">
        <v>69</v>
      </c>
      <c r="H160" s="2" t="s">
        <v>82</v>
      </c>
      <c r="I160" s="2" t="s">
        <v>71</v>
      </c>
      <c r="J160" s="2" t="s">
        <v>95</v>
      </c>
      <c r="K160" s="2">
        <v>3</v>
      </c>
      <c r="L160" s="15">
        <v>25000</v>
      </c>
      <c r="M160" s="2">
        <v>15</v>
      </c>
      <c r="N160" s="15">
        <v>63750</v>
      </c>
      <c r="O160" s="15">
        <v>51000</v>
      </c>
      <c r="P160" s="15">
        <v>12750</v>
      </c>
      <c r="Q160" s="2" t="s">
        <v>47</v>
      </c>
      <c r="R160" s="2" t="s">
        <v>27</v>
      </c>
    </row>
    <row r="161" spans="1:18" x14ac:dyDescent="0.2">
      <c r="A161" s="2" t="s">
        <v>229</v>
      </c>
      <c r="B161" s="3">
        <v>45799</v>
      </c>
      <c r="C161" s="2" t="s">
        <v>40</v>
      </c>
      <c r="D161" s="2" t="s">
        <v>41</v>
      </c>
      <c r="E161" s="2">
        <v>34</v>
      </c>
      <c r="F161" s="2" t="s">
        <v>21</v>
      </c>
      <c r="G161" s="2" t="s">
        <v>22</v>
      </c>
      <c r="H161" s="2" t="s">
        <v>23</v>
      </c>
      <c r="I161" s="2" t="s">
        <v>24</v>
      </c>
      <c r="J161" s="2" t="s">
        <v>52</v>
      </c>
      <c r="K161" s="2">
        <v>2</v>
      </c>
      <c r="L161" s="15">
        <v>15000</v>
      </c>
      <c r="M161" s="2">
        <v>5</v>
      </c>
      <c r="N161" s="15">
        <v>28500</v>
      </c>
      <c r="O161" s="15">
        <v>18000</v>
      </c>
      <c r="P161" s="15">
        <v>10500</v>
      </c>
      <c r="Q161" s="2" t="s">
        <v>64</v>
      </c>
      <c r="R161" s="2" t="s">
        <v>27</v>
      </c>
    </row>
    <row r="162" spans="1:18" x14ac:dyDescent="0.2">
      <c r="A162" s="2" t="s">
        <v>230</v>
      </c>
      <c r="B162" s="3">
        <v>45884</v>
      </c>
      <c r="C162" s="2" t="s">
        <v>81</v>
      </c>
      <c r="D162" s="2" t="s">
        <v>41</v>
      </c>
      <c r="E162" s="2">
        <v>28</v>
      </c>
      <c r="F162" s="2" t="s">
        <v>42</v>
      </c>
      <c r="G162" s="2" t="s">
        <v>43</v>
      </c>
      <c r="H162" s="2" t="s">
        <v>44</v>
      </c>
      <c r="I162" s="2" t="s">
        <v>71</v>
      </c>
      <c r="J162" s="2" t="s">
        <v>32</v>
      </c>
      <c r="K162" s="2">
        <v>2</v>
      </c>
      <c r="L162" s="15">
        <v>20000</v>
      </c>
      <c r="M162" s="2">
        <v>5</v>
      </c>
      <c r="N162" s="15">
        <v>38000</v>
      </c>
      <c r="O162" s="15">
        <v>24000</v>
      </c>
      <c r="P162" s="15">
        <v>14000</v>
      </c>
      <c r="Q162" s="2" t="s">
        <v>26</v>
      </c>
      <c r="R162" s="2" t="s">
        <v>58</v>
      </c>
    </row>
    <row r="163" spans="1:18" x14ac:dyDescent="0.2">
      <c r="A163" s="2" t="s">
        <v>231</v>
      </c>
      <c r="B163" s="3">
        <v>45750</v>
      </c>
      <c r="C163" s="2" t="s">
        <v>35</v>
      </c>
      <c r="D163" s="2" t="s">
        <v>20</v>
      </c>
      <c r="E163" s="2">
        <v>52</v>
      </c>
      <c r="F163" s="2" t="s">
        <v>68</v>
      </c>
      <c r="G163" s="2" t="s">
        <v>36</v>
      </c>
      <c r="H163" s="2" t="s">
        <v>76</v>
      </c>
      <c r="I163" s="2" t="s">
        <v>71</v>
      </c>
      <c r="J163" s="2" t="s">
        <v>32</v>
      </c>
      <c r="K163" s="2">
        <v>3</v>
      </c>
      <c r="L163" s="15">
        <v>10000</v>
      </c>
      <c r="M163" s="2">
        <v>15</v>
      </c>
      <c r="N163" s="15">
        <v>25500</v>
      </c>
      <c r="O163" s="15">
        <v>18000</v>
      </c>
      <c r="P163" s="15">
        <v>7500</v>
      </c>
      <c r="Q163" s="2" t="s">
        <v>26</v>
      </c>
      <c r="R163" s="2" t="s">
        <v>33</v>
      </c>
    </row>
    <row r="164" spans="1:18" x14ac:dyDescent="0.2">
      <c r="A164" s="2" t="s">
        <v>232</v>
      </c>
      <c r="B164" s="3">
        <v>45929</v>
      </c>
      <c r="C164" s="2" t="s">
        <v>40</v>
      </c>
      <c r="D164" s="2" t="s">
        <v>41</v>
      </c>
      <c r="E164" s="2">
        <v>35</v>
      </c>
      <c r="F164" s="2" t="s">
        <v>21</v>
      </c>
      <c r="G164" s="2" t="s">
        <v>50</v>
      </c>
      <c r="H164" s="2" t="s">
        <v>57</v>
      </c>
      <c r="I164" s="2" t="s">
        <v>45</v>
      </c>
      <c r="J164" s="2" t="s">
        <v>95</v>
      </c>
      <c r="K164" s="2">
        <v>3</v>
      </c>
      <c r="L164" s="15">
        <v>14000</v>
      </c>
      <c r="M164" s="2">
        <v>0</v>
      </c>
      <c r="N164" s="15">
        <v>42000</v>
      </c>
      <c r="O164" s="15">
        <v>25500</v>
      </c>
      <c r="P164" s="15">
        <v>16500</v>
      </c>
      <c r="Q164" s="2" t="s">
        <v>47</v>
      </c>
      <c r="R164" s="2" t="s">
        <v>33</v>
      </c>
    </row>
    <row r="165" spans="1:18" x14ac:dyDescent="0.2">
      <c r="A165" s="2" t="s">
        <v>233</v>
      </c>
      <c r="B165" s="3">
        <v>45962</v>
      </c>
      <c r="C165" s="2" t="s">
        <v>91</v>
      </c>
      <c r="D165" s="2" t="s">
        <v>20</v>
      </c>
      <c r="E165" s="2">
        <v>22</v>
      </c>
      <c r="F165" s="2" t="s">
        <v>21</v>
      </c>
      <c r="G165" s="2" t="s">
        <v>69</v>
      </c>
      <c r="H165" s="2" t="s">
        <v>70</v>
      </c>
      <c r="I165" s="2" t="s">
        <v>31</v>
      </c>
      <c r="J165" s="2" t="s">
        <v>52</v>
      </c>
      <c r="K165" s="2">
        <v>2</v>
      </c>
      <c r="L165" s="15">
        <v>22000</v>
      </c>
      <c r="M165" s="2">
        <v>0</v>
      </c>
      <c r="N165" s="15">
        <v>44000</v>
      </c>
      <c r="O165" s="15">
        <v>28000</v>
      </c>
      <c r="P165" s="15">
        <v>16000</v>
      </c>
      <c r="Q165" s="2" t="s">
        <v>26</v>
      </c>
      <c r="R165" s="2" t="s">
        <v>33</v>
      </c>
    </row>
    <row r="166" spans="1:18" x14ac:dyDescent="0.2">
      <c r="A166" s="2" t="s">
        <v>234</v>
      </c>
      <c r="B166" s="3">
        <v>45944</v>
      </c>
      <c r="C166" s="2" t="s">
        <v>56</v>
      </c>
      <c r="D166" s="2" t="s">
        <v>20</v>
      </c>
      <c r="E166" s="2">
        <v>32</v>
      </c>
      <c r="F166" s="2" t="s">
        <v>21</v>
      </c>
      <c r="G166" s="2" t="s">
        <v>36</v>
      </c>
      <c r="H166" s="2" t="s">
        <v>76</v>
      </c>
      <c r="I166" s="2" t="s">
        <v>24</v>
      </c>
      <c r="J166" s="2" t="s">
        <v>52</v>
      </c>
      <c r="K166" s="2">
        <v>1</v>
      </c>
      <c r="L166" s="15">
        <v>10000</v>
      </c>
      <c r="M166" s="2">
        <v>0</v>
      </c>
      <c r="N166" s="15">
        <v>10000</v>
      </c>
      <c r="O166" s="15">
        <v>6000</v>
      </c>
      <c r="P166" s="15">
        <v>4000</v>
      </c>
      <c r="Q166" s="2" t="s">
        <v>47</v>
      </c>
      <c r="R166" s="2" t="s">
        <v>27</v>
      </c>
    </row>
    <row r="167" spans="1:18" x14ac:dyDescent="0.2">
      <c r="A167" s="2" t="s">
        <v>235</v>
      </c>
      <c r="B167" s="3">
        <v>46020</v>
      </c>
      <c r="C167" s="2" t="s">
        <v>91</v>
      </c>
      <c r="D167" s="2" t="s">
        <v>41</v>
      </c>
      <c r="E167" s="2">
        <v>41</v>
      </c>
      <c r="F167" s="2" t="s">
        <v>42</v>
      </c>
      <c r="G167" s="2" t="s">
        <v>69</v>
      </c>
      <c r="H167" s="2" t="s">
        <v>82</v>
      </c>
      <c r="I167" s="2" t="s">
        <v>45</v>
      </c>
      <c r="J167" s="2" t="s">
        <v>32</v>
      </c>
      <c r="K167" s="2">
        <v>2</v>
      </c>
      <c r="L167" s="15">
        <v>25000</v>
      </c>
      <c r="M167" s="2">
        <v>15</v>
      </c>
      <c r="N167" s="15">
        <v>42500</v>
      </c>
      <c r="O167" s="15">
        <v>34000</v>
      </c>
      <c r="P167" s="15">
        <v>8500</v>
      </c>
      <c r="Q167" s="2" t="s">
        <v>26</v>
      </c>
      <c r="R167" s="2" t="s">
        <v>33</v>
      </c>
    </row>
    <row r="168" spans="1:18" x14ac:dyDescent="0.2">
      <c r="A168" s="2" t="s">
        <v>236</v>
      </c>
      <c r="B168" s="3">
        <v>45739</v>
      </c>
      <c r="C168" s="2" t="s">
        <v>40</v>
      </c>
      <c r="D168" s="2" t="s">
        <v>20</v>
      </c>
      <c r="E168" s="2">
        <v>29</v>
      </c>
      <c r="F168" s="2" t="s">
        <v>21</v>
      </c>
      <c r="G168" s="2" t="s">
        <v>36</v>
      </c>
      <c r="H168" s="2" t="s">
        <v>76</v>
      </c>
      <c r="I168" s="2" t="s">
        <v>71</v>
      </c>
      <c r="J168" s="2" t="s">
        <v>32</v>
      </c>
      <c r="K168" s="2">
        <v>1</v>
      </c>
      <c r="L168" s="15">
        <v>10000</v>
      </c>
      <c r="M168" s="2">
        <v>0</v>
      </c>
      <c r="N168" s="15">
        <v>10000</v>
      </c>
      <c r="O168" s="15">
        <v>6000</v>
      </c>
      <c r="P168" s="15">
        <v>4000</v>
      </c>
      <c r="Q168" s="2" t="s">
        <v>47</v>
      </c>
      <c r="R168" s="2" t="s">
        <v>38</v>
      </c>
    </row>
    <row r="169" spans="1:18" x14ac:dyDescent="0.2">
      <c r="A169" s="2" t="s">
        <v>237</v>
      </c>
      <c r="B169" s="3">
        <v>45940</v>
      </c>
      <c r="C169" s="2" t="s">
        <v>81</v>
      </c>
      <c r="D169" s="2" t="s">
        <v>41</v>
      </c>
      <c r="E169" s="2">
        <v>36</v>
      </c>
      <c r="F169" s="2" t="s">
        <v>30</v>
      </c>
      <c r="G169" s="2" t="s">
        <v>22</v>
      </c>
      <c r="H169" s="2" t="s">
        <v>74</v>
      </c>
      <c r="I169" s="2" t="s">
        <v>24</v>
      </c>
      <c r="J169" s="2" t="s">
        <v>66</v>
      </c>
      <c r="K169" s="2">
        <v>3</v>
      </c>
      <c r="L169" s="15">
        <v>18000</v>
      </c>
      <c r="M169" s="2">
        <v>10</v>
      </c>
      <c r="N169" s="15">
        <v>48600</v>
      </c>
      <c r="O169" s="15">
        <v>33000</v>
      </c>
      <c r="P169" s="15">
        <v>15600</v>
      </c>
      <c r="Q169" s="2" t="s">
        <v>47</v>
      </c>
      <c r="R169" s="2" t="s">
        <v>58</v>
      </c>
    </row>
    <row r="170" spans="1:18" x14ac:dyDescent="0.2">
      <c r="A170" s="2" t="s">
        <v>238</v>
      </c>
      <c r="B170" s="3">
        <v>46016</v>
      </c>
      <c r="C170" s="2" t="s">
        <v>19</v>
      </c>
      <c r="D170" s="2" t="s">
        <v>41</v>
      </c>
      <c r="E170" s="2">
        <v>21</v>
      </c>
      <c r="F170" s="2" t="s">
        <v>30</v>
      </c>
      <c r="G170" s="2" t="s">
        <v>43</v>
      </c>
      <c r="H170" s="2" t="s">
        <v>44</v>
      </c>
      <c r="I170" s="2" t="s">
        <v>31</v>
      </c>
      <c r="J170" s="2" t="s">
        <v>32</v>
      </c>
      <c r="K170" s="2">
        <v>1</v>
      </c>
      <c r="L170" s="15">
        <v>20000</v>
      </c>
      <c r="M170" s="2">
        <v>5</v>
      </c>
      <c r="N170" s="15">
        <v>19000</v>
      </c>
      <c r="O170" s="15">
        <v>12000</v>
      </c>
      <c r="P170" s="15">
        <v>7000</v>
      </c>
      <c r="Q170" s="2" t="s">
        <v>26</v>
      </c>
      <c r="R170" s="2" t="s">
        <v>38</v>
      </c>
    </row>
    <row r="171" spans="1:18" x14ac:dyDescent="0.2">
      <c r="A171" s="2" t="s">
        <v>239</v>
      </c>
      <c r="B171" s="3">
        <v>45829</v>
      </c>
      <c r="C171" s="2" t="s">
        <v>62</v>
      </c>
      <c r="D171" s="2" t="s">
        <v>41</v>
      </c>
      <c r="E171" s="2">
        <v>35</v>
      </c>
      <c r="F171" s="2" t="s">
        <v>68</v>
      </c>
      <c r="G171" s="2" t="s">
        <v>50</v>
      </c>
      <c r="H171" s="2" t="s">
        <v>57</v>
      </c>
      <c r="I171" s="2" t="s">
        <v>71</v>
      </c>
      <c r="J171" s="2" t="s">
        <v>46</v>
      </c>
      <c r="K171" s="2">
        <v>1</v>
      </c>
      <c r="L171" s="15">
        <v>14000</v>
      </c>
      <c r="M171" s="2">
        <v>0</v>
      </c>
      <c r="N171" s="15">
        <v>14000</v>
      </c>
      <c r="O171" s="15">
        <v>8500</v>
      </c>
      <c r="P171" s="15">
        <v>5500</v>
      </c>
      <c r="Q171" s="2" t="s">
        <v>47</v>
      </c>
      <c r="R171" s="2" t="s">
        <v>58</v>
      </c>
    </row>
    <row r="172" spans="1:18" x14ac:dyDescent="0.2">
      <c r="A172" s="2" t="s">
        <v>240</v>
      </c>
      <c r="B172" s="3">
        <v>45881</v>
      </c>
      <c r="C172" s="2" t="s">
        <v>89</v>
      </c>
      <c r="D172" s="2" t="s">
        <v>20</v>
      </c>
      <c r="E172" s="2">
        <v>46</v>
      </c>
      <c r="F172" s="2" t="s">
        <v>30</v>
      </c>
      <c r="G172" s="2" t="s">
        <v>43</v>
      </c>
      <c r="H172" s="2" t="s">
        <v>60</v>
      </c>
      <c r="I172" s="2" t="s">
        <v>24</v>
      </c>
      <c r="J172" s="2" t="s">
        <v>95</v>
      </c>
      <c r="K172" s="2">
        <v>3</v>
      </c>
      <c r="L172" s="15">
        <v>15000</v>
      </c>
      <c r="M172" s="2">
        <v>0</v>
      </c>
      <c r="N172" s="15">
        <v>45000</v>
      </c>
      <c r="O172" s="15">
        <v>27000</v>
      </c>
      <c r="P172" s="15">
        <v>18000</v>
      </c>
      <c r="Q172" s="2" t="s">
        <v>64</v>
      </c>
      <c r="R172" s="2" t="s">
        <v>58</v>
      </c>
    </row>
    <row r="173" spans="1:18" x14ac:dyDescent="0.2">
      <c r="A173" s="2" t="s">
        <v>241</v>
      </c>
      <c r="B173" s="3">
        <v>45680</v>
      </c>
      <c r="C173" s="2" t="s">
        <v>91</v>
      </c>
      <c r="D173" s="2" t="s">
        <v>41</v>
      </c>
      <c r="E173" s="2">
        <v>32</v>
      </c>
      <c r="F173" s="2" t="s">
        <v>49</v>
      </c>
      <c r="G173" s="2" t="s">
        <v>22</v>
      </c>
      <c r="H173" s="2" t="s">
        <v>74</v>
      </c>
      <c r="I173" s="2" t="s">
        <v>24</v>
      </c>
      <c r="J173" s="2" t="s">
        <v>52</v>
      </c>
      <c r="K173" s="2">
        <v>4</v>
      </c>
      <c r="L173" s="15">
        <v>18000</v>
      </c>
      <c r="M173" s="2">
        <v>5</v>
      </c>
      <c r="N173" s="15">
        <v>68400</v>
      </c>
      <c r="O173" s="15">
        <v>44000</v>
      </c>
      <c r="P173" s="15">
        <v>24400</v>
      </c>
      <c r="Q173" s="2" t="s">
        <v>64</v>
      </c>
      <c r="R173" s="2" t="s">
        <v>27</v>
      </c>
    </row>
    <row r="174" spans="1:18" x14ac:dyDescent="0.2">
      <c r="A174" s="2" t="s">
        <v>242</v>
      </c>
      <c r="B174" s="3">
        <v>45856</v>
      </c>
      <c r="C174" s="2" t="s">
        <v>73</v>
      </c>
      <c r="D174" s="2" t="s">
        <v>41</v>
      </c>
      <c r="E174" s="2">
        <v>25</v>
      </c>
      <c r="F174" s="2" t="s">
        <v>42</v>
      </c>
      <c r="G174" s="2" t="s">
        <v>50</v>
      </c>
      <c r="H174" s="2" t="s">
        <v>51</v>
      </c>
      <c r="I174" s="2" t="s">
        <v>24</v>
      </c>
      <c r="J174" s="2" t="s">
        <v>46</v>
      </c>
      <c r="K174" s="2">
        <v>2</v>
      </c>
      <c r="L174" s="15">
        <v>16000</v>
      </c>
      <c r="M174" s="2">
        <v>10</v>
      </c>
      <c r="N174" s="15">
        <v>28800</v>
      </c>
      <c r="O174" s="15">
        <v>20000</v>
      </c>
      <c r="P174" s="15">
        <v>8800</v>
      </c>
      <c r="Q174" s="2" t="s">
        <v>64</v>
      </c>
      <c r="R174" s="2" t="s">
        <v>27</v>
      </c>
    </row>
    <row r="175" spans="1:18" x14ac:dyDescent="0.2">
      <c r="A175" s="2" t="s">
        <v>243</v>
      </c>
      <c r="B175" s="3">
        <v>45994</v>
      </c>
      <c r="C175" s="2" t="s">
        <v>81</v>
      </c>
      <c r="D175" s="2" t="s">
        <v>41</v>
      </c>
      <c r="E175" s="2">
        <v>22</v>
      </c>
      <c r="F175" s="2" t="s">
        <v>49</v>
      </c>
      <c r="G175" s="2" t="s">
        <v>69</v>
      </c>
      <c r="H175" s="2" t="s">
        <v>70</v>
      </c>
      <c r="I175" s="2" t="s">
        <v>71</v>
      </c>
      <c r="J175" s="2" t="s">
        <v>32</v>
      </c>
      <c r="K175" s="2">
        <v>4</v>
      </c>
      <c r="L175" s="15">
        <v>22000</v>
      </c>
      <c r="M175" s="2">
        <v>10</v>
      </c>
      <c r="N175" s="15">
        <v>79200</v>
      </c>
      <c r="O175" s="15">
        <v>56000</v>
      </c>
      <c r="P175" s="15">
        <v>23200</v>
      </c>
      <c r="Q175" s="2" t="s">
        <v>64</v>
      </c>
      <c r="R175" s="2" t="s">
        <v>38</v>
      </c>
    </row>
    <row r="176" spans="1:18" x14ac:dyDescent="0.2">
      <c r="A176" s="2" t="s">
        <v>244</v>
      </c>
      <c r="B176" s="3">
        <v>45850</v>
      </c>
      <c r="C176" s="2" t="s">
        <v>19</v>
      </c>
      <c r="D176" s="2" t="s">
        <v>41</v>
      </c>
      <c r="E176" s="2">
        <v>43</v>
      </c>
      <c r="F176" s="2" t="s">
        <v>21</v>
      </c>
      <c r="G176" s="2" t="s">
        <v>50</v>
      </c>
      <c r="H176" s="2" t="s">
        <v>57</v>
      </c>
      <c r="I176" s="2" t="s">
        <v>45</v>
      </c>
      <c r="J176" s="2" t="s">
        <v>52</v>
      </c>
      <c r="K176" s="2">
        <v>3</v>
      </c>
      <c r="L176" s="15">
        <v>14000</v>
      </c>
      <c r="M176" s="2">
        <v>15</v>
      </c>
      <c r="N176" s="15">
        <v>35700</v>
      </c>
      <c r="O176" s="15">
        <v>25500</v>
      </c>
      <c r="P176" s="15">
        <v>10200</v>
      </c>
      <c r="Q176" s="2" t="s">
        <v>26</v>
      </c>
      <c r="R176" s="2" t="s">
        <v>58</v>
      </c>
    </row>
    <row r="177" spans="1:18" x14ac:dyDescent="0.2">
      <c r="A177" s="2" t="s">
        <v>245</v>
      </c>
      <c r="B177" s="3">
        <v>45990</v>
      </c>
      <c r="C177" s="2" t="s">
        <v>89</v>
      </c>
      <c r="D177" s="2" t="s">
        <v>41</v>
      </c>
      <c r="E177" s="2">
        <v>48</v>
      </c>
      <c r="F177" s="2" t="s">
        <v>21</v>
      </c>
      <c r="G177" s="2" t="s">
        <v>50</v>
      </c>
      <c r="H177" s="2" t="s">
        <v>51</v>
      </c>
      <c r="I177" s="2" t="s">
        <v>31</v>
      </c>
      <c r="J177" s="2" t="s">
        <v>46</v>
      </c>
      <c r="K177" s="2">
        <v>4</v>
      </c>
      <c r="L177" s="15">
        <v>16000</v>
      </c>
      <c r="M177" s="2">
        <v>0</v>
      </c>
      <c r="N177" s="15">
        <v>64000</v>
      </c>
      <c r="O177" s="15">
        <v>40000</v>
      </c>
      <c r="P177" s="15">
        <v>24000</v>
      </c>
      <c r="Q177" s="2" t="s">
        <v>26</v>
      </c>
      <c r="R177" s="2" t="s">
        <v>27</v>
      </c>
    </row>
    <row r="178" spans="1:18" x14ac:dyDescent="0.2">
      <c r="A178" s="2" t="s">
        <v>246</v>
      </c>
      <c r="B178" s="3">
        <v>45843</v>
      </c>
      <c r="C178" s="2" t="s">
        <v>19</v>
      </c>
      <c r="D178" s="2" t="s">
        <v>41</v>
      </c>
      <c r="E178" s="2">
        <v>29</v>
      </c>
      <c r="F178" s="2" t="s">
        <v>21</v>
      </c>
      <c r="G178" s="2" t="s">
        <v>22</v>
      </c>
      <c r="H178" s="2" t="s">
        <v>23</v>
      </c>
      <c r="I178" s="2" t="s">
        <v>31</v>
      </c>
      <c r="J178" s="2" t="s">
        <v>25</v>
      </c>
      <c r="K178" s="2">
        <v>1</v>
      </c>
      <c r="L178" s="15">
        <v>15000</v>
      </c>
      <c r="M178" s="2">
        <v>10</v>
      </c>
      <c r="N178" s="15">
        <v>13500</v>
      </c>
      <c r="O178" s="15">
        <v>9000</v>
      </c>
      <c r="P178" s="15">
        <v>4500</v>
      </c>
      <c r="Q178" s="2" t="s">
        <v>26</v>
      </c>
      <c r="R178" s="2" t="s">
        <v>27</v>
      </c>
    </row>
    <row r="179" spans="1:18" x14ac:dyDescent="0.2">
      <c r="A179" s="2" t="s">
        <v>247</v>
      </c>
      <c r="B179" s="3">
        <v>45796</v>
      </c>
      <c r="C179" s="2" t="s">
        <v>91</v>
      </c>
      <c r="D179" s="2" t="s">
        <v>41</v>
      </c>
      <c r="E179" s="2">
        <v>32</v>
      </c>
      <c r="F179" s="2" t="s">
        <v>49</v>
      </c>
      <c r="G179" s="2" t="s">
        <v>36</v>
      </c>
      <c r="H179" s="2" t="s">
        <v>37</v>
      </c>
      <c r="I179" s="2" t="s">
        <v>45</v>
      </c>
      <c r="J179" s="2" t="s">
        <v>46</v>
      </c>
      <c r="K179" s="2">
        <v>3</v>
      </c>
      <c r="L179" s="15">
        <v>8000</v>
      </c>
      <c r="M179" s="2">
        <v>5</v>
      </c>
      <c r="N179" s="15">
        <v>22800</v>
      </c>
      <c r="O179" s="15">
        <v>13500</v>
      </c>
      <c r="P179" s="15">
        <v>9300</v>
      </c>
      <c r="Q179" s="2" t="s">
        <v>47</v>
      </c>
      <c r="R179" s="2" t="s">
        <v>33</v>
      </c>
    </row>
    <row r="180" spans="1:18" x14ac:dyDescent="0.2">
      <c r="A180" s="2" t="s">
        <v>248</v>
      </c>
      <c r="B180" s="3">
        <v>45898</v>
      </c>
      <c r="C180" s="2" t="s">
        <v>78</v>
      </c>
      <c r="D180" s="2" t="s">
        <v>41</v>
      </c>
      <c r="E180" s="2">
        <v>31</v>
      </c>
      <c r="F180" s="2" t="s">
        <v>42</v>
      </c>
      <c r="G180" s="2" t="s">
        <v>22</v>
      </c>
      <c r="H180" s="2" t="s">
        <v>23</v>
      </c>
      <c r="I180" s="2" t="s">
        <v>45</v>
      </c>
      <c r="J180" s="2" t="s">
        <v>52</v>
      </c>
      <c r="K180" s="2">
        <v>4</v>
      </c>
      <c r="L180" s="15">
        <v>15000</v>
      </c>
      <c r="M180" s="2">
        <v>15</v>
      </c>
      <c r="N180" s="15">
        <v>51000</v>
      </c>
      <c r="O180" s="15">
        <v>36000</v>
      </c>
      <c r="P180" s="15">
        <v>15000</v>
      </c>
      <c r="Q180" s="2" t="s">
        <v>47</v>
      </c>
      <c r="R180" s="2" t="s">
        <v>33</v>
      </c>
    </row>
    <row r="181" spans="1:18" x14ac:dyDescent="0.2">
      <c r="A181" s="2" t="s">
        <v>249</v>
      </c>
      <c r="B181" s="3">
        <v>45833</v>
      </c>
      <c r="C181" s="2" t="s">
        <v>81</v>
      </c>
      <c r="D181" s="2" t="s">
        <v>20</v>
      </c>
      <c r="E181" s="2">
        <v>54</v>
      </c>
      <c r="F181" s="2" t="s">
        <v>30</v>
      </c>
      <c r="G181" s="2" t="s">
        <v>50</v>
      </c>
      <c r="H181" s="2" t="s">
        <v>51</v>
      </c>
      <c r="I181" s="2" t="s">
        <v>24</v>
      </c>
      <c r="J181" s="2" t="s">
        <v>66</v>
      </c>
      <c r="K181" s="2">
        <v>2</v>
      </c>
      <c r="L181" s="15">
        <v>16000</v>
      </c>
      <c r="M181" s="2">
        <v>10</v>
      </c>
      <c r="N181" s="15">
        <v>28800</v>
      </c>
      <c r="O181" s="15">
        <v>20000</v>
      </c>
      <c r="P181" s="15">
        <v>8800</v>
      </c>
      <c r="Q181" s="2" t="s">
        <v>64</v>
      </c>
      <c r="R181" s="2" t="s">
        <v>38</v>
      </c>
    </row>
    <row r="182" spans="1:18" x14ac:dyDescent="0.2">
      <c r="A182" s="2" t="s">
        <v>250</v>
      </c>
      <c r="B182" s="3">
        <v>45817</v>
      </c>
      <c r="C182" s="2" t="s">
        <v>81</v>
      </c>
      <c r="D182" s="2" t="s">
        <v>41</v>
      </c>
      <c r="E182" s="2">
        <v>42</v>
      </c>
      <c r="F182" s="2" t="s">
        <v>21</v>
      </c>
      <c r="G182" s="2" t="s">
        <v>43</v>
      </c>
      <c r="H182" s="2" t="s">
        <v>60</v>
      </c>
      <c r="I182" s="2" t="s">
        <v>45</v>
      </c>
      <c r="J182" s="2" t="s">
        <v>46</v>
      </c>
      <c r="K182" s="2">
        <v>1</v>
      </c>
      <c r="L182" s="15">
        <v>15000</v>
      </c>
      <c r="M182" s="2">
        <v>5</v>
      </c>
      <c r="N182" s="15">
        <v>14250</v>
      </c>
      <c r="O182" s="15">
        <v>9000</v>
      </c>
      <c r="P182" s="15">
        <v>5250</v>
      </c>
      <c r="Q182" s="2" t="s">
        <v>47</v>
      </c>
      <c r="R182" s="2" t="s">
        <v>58</v>
      </c>
    </row>
    <row r="183" spans="1:18" x14ac:dyDescent="0.2">
      <c r="A183" s="2" t="s">
        <v>251</v>
      </c>
      <c r="B183" s="3">
        <v>46022</v>
      </c>
      <c r="C183" s="2" t="s">
        <v>78</v>
      </c>
      <c r="D183" s="2" t="s">
        <v>20</v>
      </c>
      <c r="E183" s="2">
        <v>32</v>
      </c>
      <c r="F183" s="2" t="s">
        <v>30</v>
      </c>
      <c r="G183" s="2" t="s">
        <v>50</v>
      </c>
      <c r="H183" s="2" t="s">
        <v>51</v>
      </c>
      <c r="I183" s="2" t="s">
        <v>71</v>
      </c>
      <c r="J183" s="2" t="s">
        <v>32</v>
      </c>
      <c r="K183" s="2">
        <v>2</v>
      </c>
      <c r="L183" s="15">
        <v>16000</v>
      </c>
      <c r="M183" s="2">
        <v>15</v>
      </c>
      <c r="N183" s="15">
        <v>27200</v>
      </c>
      <c r="O183" s="15">
        <v>20000</v>
      </c>
      <c r="P183" s="15">
        <v>7200</v>
      </c>
      <c r="Q183" s="2" t="s">
        <v>64</v>
      </c>
      <c r="R183" s="2" t="s">
        <v>27</v>
      </c>
    </row>
    <row r="184" spans="1:18" x14ac:dyDescent="0.2">
      <c r="A184" s="2" t="s">
        <v>252</v>
      </c>
      <c r="B184" s="3">
        <v>45934</v>
      </c>
      <c r="C184" s="2" t="s">
        <v>35</v>
      </c>
      <c r="D184" s="2" t="s">
        <v>20</v>
      </c>
      <c r="E184" s="2">
        <v>27</v>
      </c>
      <c r="F184" s="2" t="s">
        <v>21</v>
      </c>
      <c r="G184" s="2" t="s">
        <v>69</v>
      </c>
      <c r="H184" s="2" t="s">
        <v>82</v>
      </c>
      <c r="I184" s="2" t="s">
        <v>31</v>
      </c>
      <c r="J184" s="2" t="s">
        <v>32</v>
      </c>
      <c r="K184" s="2">
        <v>4</v>
      </c>
      <c r="L184" s="15">
        <v>25000</v>
      </c>
      <c r="M184" s="2">
        <v>5</v>
      </c>
      <c r="N184" s="15">
        <v>95000</v>
      </c>
      <c r="O184" s="15">
        <v>68000</v>
      </c>
      <c r="P184" s="15">
        <v>27000</v>
      </c>
      <c r="Q184" s="2" t="s">
        <v>47</v>
      </c>
      <c r="R184" s="2" t="s">
        <v>38</v>
      </c>
    </row>
    <row r="185" spans="1:18" x14ac:dyDescent="0.2">
      <c r="A185" s="2" t="s">
        <v>253</v>
      </c>
      <c r="B185" s="3">
        <v>45976</v>
      </c>
      <c r="C185" s="2" t="s">
        <v>35</v>
      </c>
      <c r="D185" s="2" t="s">
        <v>20</v>
      </c>
      <c r="E185" s="2">
        <v>34</v>
      </c>
      <c r="F185" s="2" t="s">
        <v>42</v>
      </c>
      <c r="G185" s="2" t="s">
        <v>69</v>
      </c>
      <c r="H185" s="2" t="s">
        <v>70</v>
      </c>
      <c r="I185" s="2" t="s">
        <v>45</v>
      </c>
      <c r="J185" s="2" t="s">
        <v>46</v>
      </c>
      <c r="K185" s="2">
        <v>2</v>
      </c>
      <c r="L185" s="15">
        <v>22000</v>
      </c>
      <c r="M185" s="2">
        <v>10</v>
      </c>
      <c r="N185" s="15">
        <v>39600</v>
      </c>
      <c r="O185" s="15">
        <v>28000</v>
      </c>
      <c r="P185" s="15">
        <v>11600</v>
      </c>
      <c r="Q185" s="2" t="s">
        <v>26</v>
      </c>
      <c r="R185" s="2" t="s">
        <v>58</v>
      </c>
    </row>
    <row r="186" spans="1:18" x14ac:dyDescent="0.2">
      <c r="A186" s="2" t="s">
        <v>254</v>
      </c>
      <c r="B186" s="3">
        <v>45913</v>
      </c>
      <c r="C186" s="2" t="s">
        <v>81</v>
      </c>
      <c r="D186" s="2" t="s">
        <v>41</v>
      </c>
      <c r="E186" s="2">
        <v>45</v>
      </c>
      <c r="F186" s="2" t="s">
        <v>21</v>
      </c>
      <c r="G186" s="2" t="s">
        <v>22</v>
      </c>
      <c r="H186" s="2" t="s">
        <v>23</v>
      </c>
      <c r="I186" s="2" t="s">
        <v>71</v>
      </c>
      <c r="J186" s="2" t="s">
        <v>52</v>
      </c>
      <c r="K186" s="2">
        <v>4</v>
      </c>
      <c r="L186" s="15">
        <v>15000</v>
      </c>
      <c r="M186" s="2">
        <v>0</v>
      </c>
      <c r="N186" s="15">
        <v>60000</v>
      </c>
      <c r="O186" s="15">
        <v>36000</v>
      </c>
      <c r="P186" s="15">
        <v>24000</v>
      </c>
      <c r="Q186" s="2" t="s">
        <v>64</v>
      </c>
      <c r="R186" s="2" t="s">
        <v>38</v>
      </c>
    </row>
    <row r="187" spans="1:18" x14ac:dyDescent="0.2">
      <c r="A187" s="2" t="s">
        <v>255</v>
      </c>
      <c r="B187" s="3">
        <v>45831</v>
      </c>
      <c r="C187" s="2" t="s">
        <v>73</v>
      </c>
      <c r="D187" s="2" t="s">
        <v>20</v>
      </c>
      <c r="E187" s="2">
        <v>24</v>
      </c>
      <c r="F187" s="2" t="s">
        <v>30</v>
      </c>
      <c r="G187" s="2" t="s">
        <v>36</v>
      </c>
      <c r="H187" s="2" t="s">
        <v>37</v>
      </c>
      <c r="I187" s="2" t="s">
        <v>71</v>
      </c>
      <c r="J187" s="2" t="s">
        <v>46</v>
      </c>
      <c r="K187" s="2">
        <v>3</v>
      </c>
      <c r="L187" s="15">
        <v>8000</v>
      </c>
      <c r="M187" s="2">
        <v>15</v>
      </c>
      <c r="N187" s="15">
        <v>20400</v>
      </c>
      <c r="O187" s="15">
        <v>13500</v>
      </c>
      <c r="P187" s="15">
        <v>6900</v>
      </c>
      <c r="Q187" s="2" t="s">
        <v>47</v>
      </c>
      <c r="R187" s="2" t="s">
        <v>27</v>
      </c>
    </row>
    <row r="188" spans="1:18" x14ac:dyDescent="0.2">
      <c r="A188" s="2" t="s">
        <v>256</v>
      </c>
      <c r="B188" s="3">
        <v>45825</v>
      </c>
      <c r="C188" s="2" t="s">
        <v>35</v>
      </c>
      <c r="D188" s="2" t="s">
        <v>41</v>
      </c>
      <c r="E188" s="2">
        <v>27</v>
      </c>
      <c r="F188" s="2" t="s">
        <v>68</v>
      </c>
      <c r="G188" s="2" t="s">
        <v>43</v>
      </c>
      <c r="H188" s="2" t="s">
        <v>60</v>
      </c>
      <c r="I188" s="2" t="s">
        <v>45</v>
      </c>
      <c r="J188" s="2" t="s">
        <v>66</v>
      </c>
      <c r="K188" s="2">
        <v>2</v>
      </c>
      <c r="L188" s="15">
        <v>15000</v>
      </c>
      <c r="M188" s="2">
        <v>15</v>
      </c>
      <c r="N188" s="15">
        <v>25500</v>
      </c>
      <c r="O188" s="15">
        <v>18000</v>
      </c>
      <c r="P188" s="15">
        <v>7500</v>
      </c>
      <c r="Q188" s="2" t="s">
        <v>26</v>
      </c>
      <c r="R188" s="2" t="s">
        <v>38</v>
      </c>
    </row>
    <row r="189" spans="1:18" x14ac:dyDescent="0.2">
      <c r="A189" s="2" t="s">
        <v>257</v>
      </c>
      <c r="B189" s="3">
        <v>45909</v>
      </c>
      <c r="C189" s="2" t="s">
        <v>35</v>
      </c>
      <c r="D189" s="2" t="s">
        <v>20</v>
      </c>
      <c r="E189" s="2">
        <v>34</v>
      </c>
      <c r="F189" s="2" t="s">
        <v>49</v>
      </c>
      <c r="G189" s="2" t="s">
        <v>22</v>
      </c>
      <c r="H189" s="2" t="s">
        <v>74</v>
      </c>
      <c r="I189" s="2" t="s">
        <v>45</v>
      </c>
      <c r="J189" s="2" t="s">
        <v>95</v>
      </c>
      <c r="K189" s="2">
        <v>4</v>
      </c>
      <c r="L189" s="15">
        <v>18000</v>
      </c>
      <c r="M189" s="2">
        <v>5</v>
      </c>
      <c r="N189" s="15">
        <v>68400</v>
      </c>
      <c r="O189" s="15">
        <v>44000</v>
      </c>
      <c r="P189" s="15">
        <v>24400</v>
      </c>
      <c r="Q189" s="2" t="s">
        <v>26</v>
      </c>
      <c r="R189" s="2" t="s">
        <v>58</v>
      </c>
    </row>
    <row r="190" spans="1:18" x14ac:dyDescent="0.2">
      <c r="A190" s="2" t="s">
        <v>258</v>
      </c>
      <c r="B190" s="3">
        <v>45949</v>
      </c>
      <c r="C190" s="2" t="s">
        <v>78</v>
      </c>
      <c r="D190" s="2" t="s">
        <v>20</v>
      </c>
      <c r="E190" s="2">
        <v>20</v>
      </c>
      <c r="F190" s="2" t="s">
        <v>68</v>
      </c>
      <c r="G190" s="2" t="s">
        <v>22</v>
      </c>
      <c r="H190" s="2" t="s">
        <v>74</v>
      </c>
      <c r="I190" s="2" t="s">
        <v>45</v>
      </c>
      <c r="J190" s="2" t="s">
        <v>52</v>
      </c>
      <c r="K190" s="2">
        <v>1</v>
      </c>
      <c r="L190" s="15">
        <v>18000</v>
      </c>
      <c r="M190" s="2">
        <v>15</v>
      </c>
      <c r="N190" s="15">
        <v>15300</v>
      </c>
      <c r="O190" s="15">
        <v>11000</v>
      </c>
      <c r="P190" s="15">
        <v>4300</v>
      </c>
      <c r="Q190" s="2" t="s">
        <v>64</v>
      </c>
      <c r="R190" s="2" t="s">
        <v>33</v>
      </c>
    </row>
    <row r="191" spans="1:18" x14ac:dyDescent="0.2">
      <c r="A191" s="2" t="s">
        <v>259</v>
      </c>
      <c r="B191" s="3">
        <v>45953</v>
      </c>
      <c r="C191" s="2" t="s">
        <v>62</v>
      </c>
      <c r="D191" s="2" t="s">
        <v>41</v>
      </c>
      <c r="E191" s="2">
        <v>28</v>
      </c>
      <c r="F191" s="2" t="s">
        <v>68</v>
      </c>
      <c r="G191" s="2" t="s">
        <v>43</v>
      </c>
      <c r="H191" s="2" t="s">
        <v>60</v>
      </c>
      <c r="I191" s="2" t="s">
        <v>71</v>
      </c>
      <c r="J191" s="2" t="s">
        <v>66</v>
      </c>
      <c r="K191" s="2">
        <v>1</v>
      </c>
      <c r="L191" s="15">
        <v>15000</v>
      </c>
      <c r="M191" s="2">
        <v>0</v>
      </c>
      <c r="N191" s="15">
        <v>15000</v>
      </c>
      <c r="O191" s="15">
        <v>9000</v>
      </c>
      <c r="P191" s="15">
        <v>6000</v>
      </c>
      <c r="Q191" s="2" t="s">
        <v>64</v>
      </c>
      <c r="R191" s="2" t="s">
        <v>58</v>
      </c>
    </row>
    <row r="192" spans="1:18" x14ac:dyDescent="0.2">
      <c r="A192" s="2" t="s">
        <v>260</v>
      </c>
      <c r="B192" s="3">
        <v>46015</v>
      </c>
      <c r="C192" s="2" t="s">
        <v>35</v>
      </c>
      <c r="D192" s="2" t="s">
        <v>20</v>
      </c>
      <c r="E192" s="2">
        <v>20</v>
      </c>
      <c r="F192" s="2" t="s">
        <v>49</v>
      </c>
      <c r="G192" s="2" t="s">
        <v>43</v>
      </c>
      <c r="H192" s="2" t="s">
        <v>44</v>
      </c>
      <c r="I192" s="2" t="s">
        <v>24</v>
      </c>
      <c r="J192" s="2" t="s">
        <v>95</v>
      </c>
      <c r="K192" s="2">
        <v>4</v>
      </c>
      <c r="L192" s="15">
        <v>20000</v>
      </c>
      <c r="M192" s="2">
        <v>5</v>
      </c>
      <c r="N192" s="15">
        <v>76000</v>
      </c>
      <c r="O192" s="15">
        <v>48000</v>
      </c>
      <c r="P192" s="15">
        <v>28000</v>
      </c>
      <c r="Q192" s="2" t="s">
        <v>26</v>
      </c>
      <c r="R192" s="2" t="s">
        <v>58</v>
      </c>
    </row>
    <row r="193" spans="1:18" x14ac:dyDescent="0.2">
      <c r="A193" s="2" t="s">
        <v>261</v>
      </c>
      <c r="B193" s="3">
        <v>45815</v>
      </c>
      <c r="C193" s="2" t="s">
        <v>54</v>
      </c>
      <c r="D193" s="2" t="s">
        <v>41</v>
      </c>
      <c r="E193" s="2">
        <v>32</v>
      </c>
      <c r="F193" s="2" t="s">
        <v>49</v>
      </c>
      <c r="G193" s="2" t="s">
        <v>22</v>
      </c>
      <c r="H193" s="2" t="s">
        <v>23</v>
      </c>
      <c r="I193" s="2" t="s">
        <v>31</v>
      </c>
      <c r="J193" s="2" t="s">
        <v>46</v>
      </c>
      <c r="K193" s="2">
        <v>4</v>
      </c>
      <c r="L193" s="15">
        <v>15000</v>
      </c>
      <c r="M193" s="2">
        <v>5</v>
      </c>
      <c r="N193" s="15">
        <v>57000</v>
      </c>
      <c r="O193" s="15">
        <v>36000</v>
      </c>
      <c r="P193" s="15">
        <v>21000</v>
      </c>
      <c r="Q193" s="2" t="s">
        <v>47</v>
      </c>
      <c r="R193" s="2" t="s">
        <v>58</v>
      </c>
    </row>
    <row r="194" spans="1:18" x14ac:dyDescent="0.2">
      <c r="A194" s="2" t="s">
        <v>262</v>
      </c>
      <c r="B194" s="3">
        <v>45961</v>
      </c>
      <c r="C194" s="2" t="s">
        <v>19</v>
      </c>
      <c r="D194" s="2" t="s">
        <v>20</v>
      </c>
      <c r="E194" s="2">
        <v>20</v>
      </c>
      <c r="F194" s="2" t="s">
        <v>49</v>
      </c>
      <c r="G194" s="2" t="s">
        <v>36</v>
      </c>
      <c r="H194" s="2" t="s">
        <v>76</v>
      </c>
      <c r="I194" s="2" t="s">
        <v>71</v>
      </c>
      <c r="J194" s="2" t="s">
        <v>32</v>
      </c>
      <c r="K194" s="2">
        <v>2</v>
      </c>
      <c r="L194" s="15">
        <v>10000</v>
      </c>
      <c r="M194" s="2">
        <v>15</v>
      </c>
      <c r="N194" s="15">
        <v>17000</v>
      </c>
      <c r="O194" s="15">
        <v>12000</v>
      </c>
      <c r="P194" s="15">
        <v>5000</v>
      </c>
      <c r="Q194" s="2" t="s">
        <v>47</v>
      </c>
      <c r="R194" s="2" t="s">
        <v>38</v>
      </c>
    </row>
    <row r="195" spans="1:18" x14ac:dyDescent="0.2">
      <c r="A195" s="2" t="s">
        <v>263</v>
      </c>
      <c r="B195" s="3">
        <v>45663</v>
      </c>
      <c r="C195" s="2" t="s">
        <v>81</v>
      </c>
      <c r="D195" s="2" t="s">
        <v>20</v>
      </c>
      <c r="E195" s="2">
        <v>23</v>
      </c>
      <c r="F195" s="2" t="s">
        <v>42</v>
      </c>
      <c r="G195" s="2" t="s">
        <v>22</v>
      </c>
      <c r="H195" s="2" t="s">
        <v>23</v>
      </c>
      <c r="I195" s="2" t="s">
        <v>24</v>
      </c>
      <c r="J195" s="2" t="s">
        <v>95</v>
      </c>
      <c r="K195" s="2">
        <v>4</v>
      </c>
      <c r="L195" s="15">
        <v>15000</v>
      </c>
      <c r="M195" s="2">
        <v>5</v>
      </c>
      <c r="N195" s="15">
        <v>57000</v>
      </c>
      <c r="O195" s="15">
        <v>36000</v>
      </c>
      <c r="P195" s="15">
        <v>21000</v>
      </c>
      <c r="Q195" s="2" t="s">
        <v>47</v>
      </c>
      <c r="R195" s="2" t="s">
        <v>27</v>
      </c>
    </row>
    <row r="196" spans="1:18" x14ac:dyDescent="0.2">
      <c r="A196" s="2" t="s">
        <v>264</v>
      </c>
      <c r="B196" s="3">
        <v>45679</v>
      </c>
      <c r="C196" s="2" t="s">
        <v>91</v>
      </c>
      <c r="D196" s="2" t="s">
        <v>20</v>
      </c>
      <c r="E196" s="2">
        <v>34</v>
      </c>
      <c r="F196" s="2" t="s">
        <v>21</v>
      </c>
      <c r="G196" s="2" t="s">
        <v>50</v>
      </c>
      <c r="H196" s="2" t="s">
        <v>57</v>
      </c>
      <c r="I196" s="2" t="s">
        <v>71</v>
      </c>
      <c r="J196" s="2" t="s">
        <v>52</v>
      </c>
      <c r="K196" s="2">
        <v>2</v>
      </c>
      <c r="L196" s="15">
        <v>14000</v>
      </c>
      <c r="M196" s="2">
        <v>15</v>
      </c>
      <c r="N196" s="15">
        <v>23800</v>
      </c>
      <c r="O196" s="15">
        <v>17000</v>
      </c>
      <c r="P196" s="15">
        <v>6800</v>
      </c>
      <c r="Q196" s="2" t="s">
        <v>64</v>
      </c>
      <c r="R196" s="2" t="s">
        <v>33</v>
      </c>
    </row>
    <row r="197" spans="1:18" x14ac:dyDescent="0.2">
      <c r="A197" s="2" t="s">
        <v>265</v>
      </c>
      <c r="B197" s="3">
        <v>45699</v>
      </c>
      <c r="C197" s="2" t="s">
        <v>35</v>
      </c>
      <c r="D197" s="2" t="s">
        <v>41</v>
      </c>
      <c r="E197" s="2">
        <v>42</v>
      </c>
      <c r="F197" s="2" t="s">
        <v>21</v>
      </c>
      <c r="G197" s="2" t="s">
        <v>50</v>
      </c>
      <c r="H197" s="2" t="s">
        <v>57</v>
      </c>
      <c r="I197" s="2" t="s">
        <v>45</v>
      </c>
      <c r="J197" s="2" t="s">
        <v>95</v>
      </c>
      <c r="K197" s="2">
        <v>1</v>
      </c>
      <c r="L197" s="15">
        <v>14000</v>
      </c>
      <c r="M197" s="2">
        <v>15</v>
      </c>
      <c r="N197" s="15">
        <v>11900</v>
      </c>
      <c r="O197" s="15">
        <v>8500</v>
      </c>
      <c r="P197" s="15">
        <v>3400</v>
      </c>
      <c r="Q197" s="2" t="s">
        <v>47</v>
      </c>
      <c r="R197" s="2" t="s">
        <v>38</v>
      </c>
    </row>
    <row r="198" spans="1:18" x14ac:dyDescent="0.2">
      <c r="A198" s="2" t="s">
        <v>266</v>
      </c>
      <c r="B198" s="3">
        <v>45729</v>
      </c>
      <c r="C198" s="2" t="s">
        <v>81</v>
      </c>
      <c r="D198" s="2" t="s">
        <v>41</v>
      </c>
      <c r="E198" s="2">
        <v>55</v>
      </c>
      <c r="F198" s="2" t="s">
        <v>21</v>
      </c>
      <c r="G198" s="2" t="s">
        <v>36</v>
      </c>
      <c r="H198" s="2" t="s">
        <v>76</v>
      </c>
      <c r="I198" s="2" t="s">
        <v>24</v>
      </c>
      <c r="J198" s="2" t="s">
        <v>25</v>
      </c>
      <c r="K198" s="2">
        <v>4</v>
      </c>
      <c r="L198" s="15">
        <v>10000</v>
      </c>
      <c r="M198" s="2">
        <v>0</v>
      </c>
      <c r="N198" s="15">
        <v>40000</v>
      </c>
      <c r="O198" s="15">
        <v>24000</v>
      </c>
      <c r="P198" s="15">
        <v>16000</v>
      </c>
      <c r="Q198" s="2" t="s">
        <v>47</v>
      </c>
      <c r="R198" s="2" t="s">
        <v>27</v>
      </c>
    </row>
    <row r="199" spans="1:18" x14ac:dyDescent="0.2">
      <c r="A199" s="2" t="s">
        <v>267</v>
      </c>
      <c r="B199" s="3">
        <v>45801</v>
      </c>
      <c r="C199" s="2" t="s">
        <v>81</v>
      </c>
      <c r="D199" s="2" t="s">
        <v>20</v>
      </c>
      <c r="E199" s="2">
        <v>41</v>
      </c>
      <c r="F199" s="2" t="s">
        <v>68</v>
      </c>
      <c r="G199" s="2" t="s">
        <v>69</v>
      </c>
      <c r="H199" s="2" t="s">
        <v>82</v>
      </c>
      <c r="I199" s="2" t="s">
        <v>45</v>
      </c>
      <c r="J199" s="2" t="s">
        <v>32</v>
      </c>
      <c r="K199" s="2">
        <v>3</v>
      </c>
      <c r="L199" s="15">
        <v>25000</v>
      </c>
      <c r="M199" s="2">
        <v>10</v>
      </c>
      <c r="N199" s="15">
        <v>67500</v>
      </c>
      <c r="O199" s="15">
        <v>51000</v>
      </c>
      <c r="P199" s="15">
        <v>16500</v>
      </c>
      <c r="Q199" s="2" t="s">
        <v>26</v>
      </c>
      <c r="R199" s="2" t="s">
        <v>33</v>
      </c>
    </row>
    <row r="200" spans="1:18" x14ac:dyDescent="0.2">
      <c r="A200" s="2" t="s">
        <v>268</v>
      </c>
      <c r="B200" s="3">
        <v>45745</v>
      </c>
      <c r="C200" s="2" t="s">
        <v>35</v>
      </c>
      <c r="D200" s="2" t="s">
        <v>20</v>
      </c>
      <c r="E200" s="2">
        <v>42</v>
      </c>
      <c r="F200" s="2" t="s">
        <v>68</v>
      </c>
      <c r="G200" s="2" t="s">
        <v>69</v>
      </c>
      <c r="H200" s="2" t="s">
        <v>70</v>
      </c>
      <c r="I200" s="2" t="s">
        <v>45</v>
      </c>
      <c r="J200" s="2" t="s">
        <v>32</v>
      </c>
      <c r="K200" s="2">
        <v>1</v>
      </c>
      <c r="L200" s="15">
        <v>22000</v>
      </c>
      <c r="M200" s="2">
        <v>10</v>
      </c>
      <c r="N200" s="15">
        <v>19800</v>
      </c>
      <c r="O200" s="15">
        <v>14000</v>
      </c>
      <c r="P200" s="15">
        <v>5800</v>
      </c>
      <c r="Q200" s="2" t="s">
        <v>47</v>
      </c>
      <c r="R200" s="2" t="s">
        <v>27</v>
      </c>
    </row>
    <row r="201" spans="1:18" x14ac:dyDescent="0.2">
      <c r="A201" s="2" t="s">
        <v>269</v>
      </c>
      <c r="B201" s="3">
        <v>45720</v>
      </c>
      <c r="C201" s="2" t="s">
        <v>56</v>
      </c>
      <c r="D201" s="2" t="s">
        <v>20</v>
      </c>
      <c r="E201" s="2">
        <v>21</v>
      </c>
      <c r="F201" s="2" t="s">
        <v>30</v>
      </c>
      <c r="G201" s="2" t="s">
        <v>36</v>
      </c>
      <c r="H201" s="2" t="s">
        <v>76</v>
      </c>
      <c r="I201" s="2" t="s">
        <v>31</v>
      </c>
      <c r="J201" s="2" t="s">
        <v>25</v>
      </c>
      <c r="K201" s="2">
        <v>4</v>
      </c>
      <c r="L201" s="15">
        <v>10000</v>
      </c>
      <c r="M201" s="2">
        <v>5</v>
      </c>
      <c r="N201" s="15">
        <v>38000</v>
      </c>
      <c r="O201" s="15">
        <v>24000</v>
      </c>
      <c r="P201" s="15">
        <v>14000</v>
      </c>
      <c r="Q201" s="2" t="s">
        <v>64</v>
      </c>
      <c r="R201" s="2" t="s">
        <v>58</v>
      </c>
    </row>
    <row r="202" spans="1:18" x14ac:dyDescent="0.2">
      <c r="A202" s="2" t="s">
        <v>270</v>
      </c>
      <c r="B202" s="3">
        <v>45950</v>
      </c>
      <c r="C202" s="2" t="s">
        <v>40</v>
      </c>
      <c r="D202" s="2" t="s">
        <v>41</v>
      </c>
      <c r="E202" s="2">
        <v>22</v>
      </c>
      <c r="F202" s="2" t="s">
        <v>30</v>
      </c>
      <c r="G202" s="2" t="s">
        <v>69</v>
      </c>
      <c r="H202" s="2" t="s">
        <v>82</v>
      </c>
      <c r="I202" s="2" t="s">
        <v>31</v>
      </c>
      <c r="J202" s="2" t="s">
        <v>52</v>
      </c>
      <c r="K202" s="2">
        <v>4</v>
      </c>
      <c r="L202" s="15">
        <v>25000</v>
      </c>
      <c r="M202" s="2">
        <v>10</v>
      </c>
      <c r="N202" s="15">
        <v>90000</v>
      </c>
      <c r="O202" s="15">
        <v>68000</v>
      </c>
      <c r="P202" s="15">
        <v>22000</v>
      </c>
      <c r="Q202" s="2" t="s">
        <v>26</v>
      </c>
      <c r="R202" s="2" t="s">
        <v>33</v>
      </c>
    </row>
    <row r="203" spans="1:18" x14ac:dyDescent="0.2">
      <c r="A203" s="2" t="s">
        <v>271</v>
      </c>
      <c r="B203" s="3">
        <v>45702</v>
      </c>
      <c r="C203" s="2" t="s">
        <v>19</v>
      </c>
      <c r="D203" s="2" t="s">
        <v>41</v>
      </c>
      <c r="E203" s="2">
        <v>54</v>
      </c>
      <c r="F203" s="2" t="s">
        <v>30</v>
      </c>
      <c r="G203" s="2" t="s">
        <v>22</v>
      </c>
      <c r="H203" s="2" t="s">
        <v>23</v>
      </c>
      <c r="I203" s="2" t="s">
        <v>24</v>
      </c>
      <c r="J203" s="2" t="s">
        <v>32</v>
      </c>
      <c r="K203" s="2">
        <v>3</v>
      </c>
      <c r="L203" s="15">
        <v>15000</v>
      </c>
      <c r="M203" s="2">
        <v>10</v>
      </c>
      <c r="N203" s="15">
        <v>40500</v>
      </c>
      <c r="O203" s="15">
        <v>27000</v>
      </c>
      <c r="P203" s="15">
        <v>13500</v>
      </c>
      <c r="Q203" s="2" t="s">
        <v>47</v>
      </c>
      <c r="R203" s="2" t="s">
        <v>33</v>
      </c>
    </row>
    <row r="204" spans="1:18" x14ac:dyDescent="0.2">
      <c r="A204" s="2" t="s">
        <v>272</v>
      </c>
      <c r="B204" s="3">
        <v>45965</v>
      </c>
      <c r="C204" s="2" t="s">
        <v>62</v>
      </c>
      <c r="D204" s="2" t="s">
        <v>41</v>
      </c>
      <c r="E204" s="2">
        <v>45</v>
      </c>
      <c r="F204" s="2" t="s">
        <v>30</v>
      </c>
      <c r="G204" s="2" t="s">
        <v>22</v>
      </c>
      <c r="H204" s="2" t="s">
        <v>74</v>
      </c>
      <c r="I204" s="2" t="s">
        <v>71</v>
      </c>
      <c r="J204" s="2" t="s">
        <v>52</v>
      </c>
      <c r="K204" s="2">
        <v>4</v>
      </c>
      <c r="L204" s="15">
        <v>18000</v>
      </c>
      <c r="M204" s="2">
        <v>15</v>
      </c>
      <c r="N204" s="15">
        <v>61200</v>
      </c>
      <c r="O204" s="15">
        <v>44000</v>
      </c>
      <c r="P204" s="15">
        <v>17200</v>
      </c>
      <c r="Q204" s="2" t="s">
        <v>26</v>
      </c>
      <c r="R204" s="2" t="s">
        <v>33</v>
      </c>
    </row>
    <row r="205" spans="1:18" x14ac:dyDescent="0.2">
      <c r="A205" s="2" t="s">
        <v>273</v>
      </c>
      <c r="B205" s="3">
        <v>45750</v>
      </c>
      <c r="C205" s="2" t="s">
        <v>78</v>
      </c>
      <c r="D205" s="2" t="s">
        <v>20</v>
      </c>
      <c r="E205" s="2">
        <v>32</v>
      </c>
      <c r="F205" s="2" t="s">
        <v>30</v>
      </c>
      <c r="G205" s="2" t="s">
        <v>50</v>
      </c>
      <c r="H205" s="2" t="s">
        <v>57</v>
      </c>
      <c r="I205" s="2" t="s">
        <v>45</v>
      </c>
      <c r="J205" s="2" t="s">
        <v>95</v>
      </c>
      <c r="K205" s="2">
        <v>1</v>
      </c>
      <c r="L205" s="15">
        <v>14000</v>
      </c>
      <c r="M205" s="2">
        <v>10</v>
      </c>
      <c r="N205" s="15">
        <v>12600</v>
      </c>
      <c r="O205" s="15">
        <v>8500</v>
      </c>
      <c r="P205" s="15">
        <v>4100</v>
      </c>
      <c r="Q205" s="2" t="s">
        <v>26</v>
      </c>
      <c r="R205" s="2" t="s">
        <v>27</v>
      </c>
    </row>
    <row r="206" spans="1:18" x14ac:dyDescent="0.2">
      <c r="A206" s="2" t="s">
        <v>274</v>
      </c>
      <c r="B206" s="3">
        <v>45917</v>
      </c>
      <c r="C206" s="2" t="s">
        <v>54</v>
      </c>
      <c r="D206" s="2" t="s">
        <v>41</v>
      </c>
      <c r="E206" s="2">
        <v>45</v>
      </c>
      <c r="F206" s="2" t="s">
        <v>68</v>
      </c>
      <c r="G206" s="2" t="s">
        <v>43</v>
      </c>
      <c r="H206" s="2" t="s">
        <v>60</v>
      </c>
      <c r="I206" s="2" t="s">
        <v>71</v>
      </c>
      <c r="J206" s="2" t="s">
        <v>46</v>
      </c>
      <c r="K206" s="2">
        <v>2</v>
      </c>
      <c r="L206" s="15">
        <v>15000</v>
      </c>
      <c r="M206" s="2">
        <v>15</v>
      </c>
      <c r="N206" s="15">
        <v>25500</v>
      </c>
      <c r="O206" s="15">
        <v>18000</v>
      </c>
      <c r="P206" s="15">
        <v>7500</v>
      </c>
      <c r="Q206" s="2" t="s">
        <v>64</v>
      </c>
      <c r="R206" s="2" t="s">
        <v>33</v>
      </c>
    </row>
    <row r="207" spans="1:18" x14ac:dyDescent="0.2">
      <c r="A207" s="2" t="s">
        <v>275</v>
      </c>
      <c r="B207" s="3">
        <v>46012</v>
      </c>
      <c r="C207" s="2" t="s">
        <v>40</v>
      </c>
      <c r="D207" s="2" t="s">
        <v>20</v>
      </c>
      <c r="E207" s="2">
        <v>53</v>
      </c>
      <c r="F207" s="2" t="s">
        <v>49</v>
      </c>
      <c r="G207" s="2" t="s">
        <v>50</v>
      </c>
      <c r="H207" s="2" t="s">
        <v>57</v>
      </c>
      <c r="I207" s="2" t="s">
        <v>31</v>
      </c>
      <c r="J207" s="2" t="s">
        <v>25</v>
      </c>
      <c r="K207" s="2">
        <v>2</v>
      </c>
      <c r="L207" s="15">
        <v>14000</v>
      </c>
      <c r="M207" s="2">
        <v>5</v>
      </c>
      <c r="N207" s="15">
        <v>26600</v>
      </c>
      <c r="O207" s="15">
        <v>17000</v>
      </c>
      <c r="P207" s="15">
        <v>9600</v>
      </c>
      <c r="Q207" s="2" t="s">
        <v>26</v>
      </c>
      <c r="R207" s="2" t="s">
        <v>38</v>
      </c>
    </row>
    <row r="208" spans="1:18" x14ac:dyDescent="0.2">
      <c r="A208" s="2" t="s">
        <v>276</v>
      </c>
      <c r="B208" s="3">
        <v>45883</v>
      </c>
      <c r="C208" s="2" t="s">
        <v>62</v>
      </c>
      <c r="D208" s="2" t="s">
        <v>20</v>
      </c>
      <c r="E208" s="2">
        <v>41</v>
      </c>
      <c r="F208" s="2" t="s">
        <v>30</v>
      </c>
      <c r="G208" s="2" t="s">
        <v>43</v>
      </c>
      <c r="H208" s="2" t="s">
        <v>60</v>
      </c>
      <c r="I208" s="2" t="s">
        <v>45</v>
      </c>
      <c r="J208" s="2" t="s">
        <v>52</v>
      </c>
      <c r="K208" s="2">
        <v>4</v>
      </c>
      <c r="L208" s="15">
        <v>15000</v>
      </c>
      <c r="M208" s="2">
        <v>0</v>
      </c>
      <c r="N208" s="15">
        <v>60000</v>
      </c>
      <c r="O208" s="15">
        <v>36000</v>
      </c>
      <c r="P208" s="15">
        <v>24000</v>
      </c>
      <c r="Q208" s="2" t="s">
        <v>64</v>
      </c>
      <c r="R208" s="2" t="s">
        <v>38</v>
      </c>
    </row>
    <row r="209" spans="1:18" x14ac:dyDescent="0.2">
      <c r="A209" s="2" t="s">
        <v>277</v>
      </c>
      <c r="B209" s="3">
        <v>45658</v>
      </c>
      <c r="C209" s="2" t="s">
        <v>29</v>
      </c>
      <c r="D209" s="2" t="s">
        <v>20</v>
      </c>
      <c r="E209" s="2">
        <v>47</v>
      </c>
      <c r="F209" s="2" t="s">
        <v>42</v>
      </c>
      <c r="G209" s="2" t="s">
        <v>22</v>
      </c>
      <c r="H209" s="2" t="s">
        <v>23</v>
      </c>
      <c r="I209" s="2" t="s">
        <v>31</v>
      </c>
      <c r="J209" s="2" t="s">
        <v>46</v>
      </c>
      <c r="K209" s="2">
        <v>4</v>
      </c>
      <c r="L209" s="15">
        <v>15000</v>
      </c>
      <c r="M209" s="2">
        <v>10</v>
      </c>
      <c r="N209" s="15">
        <v>54000</v>
      </c>
      <c r="O209" s="15">
        <v>36000</v>
      </c>
      <c r="P209" s="15">
        <v>18000</v>
      </c>
      <c r="Q209" s="2" t="s">
        <v>64</v>
      </c>
      <c r="R209" s="2" t="s">
        <v>58</v>
      </c>
    </row>
    <row r="210" spans="1:18" x14ac:dyDescent="0.2">
      <c r="A210" s="2" t="s">
        <v>278</v>
      </c>
      <c r="B210" s="3">
        <v>45926</v>
      </c>
      <c r="C210" s="2" t="s">
        <v>86</v>
      </c>
      <c r="D210" s="2" t="s">
        <v>41</v>
      </c>
      <c r="E210" s="2">
        <v>23</v>
      </c>
      <c r="F210" s="2" t="s">
        <v>21</v>
      </c>
      <c r="G210" s="2" t="s">
        <v>50</v>
      </c>
      <c r="H210" s="2" t="s">
        <v>51</v>
      </c>
      <c r="I210" s="2" t="s">
        <v>71</v>
      </c>
      <c r="J210" s="2" t="s">
        <v>95</v>
      </c>
      <c r="K210" s="2">
        <v>2</v>
      </c>
      <c r="L210" s="15">
        <v>16000</v>
      </c>
      <c r="M210" s="2">
        <v>0</v>
      </c>
      <c r="N210" s="15">
        <v>32000</v>
      </c>
      <c r="O210" s="15">
        <v>20000</v>
      </c>
      <c r="P210" s="15">
        <v>12000</v>
      </c>
      <c r="Q210" s="2" t="s">
        <v>26</v>
      </c>
      <c r="R210" s="2" t="s">
        <v>58</v>
      </c>
    </row>
    <row r="211" spans="1:18" x14ac:dyDescent="0.2">
      <c r="A211" s="2" t="s">
        <v>279</v>
      </c>
      <c r="B211" s="3">
        <v>46008</v>
      </c>
      <c r="C211" s="2" t="s">
        <v>62</v>
      </c>
      <c r="D211" s="2" t="s">
        <v>20</v>
      </c>
      <c r="E211" s="2">
        <v>49</v>
      </c>
      <c r="F211" s="2" t="s">
        <v>42</v>
      </c>
      <c r="G211" s="2" t="s">
        <v>69</v>
      </c>
      <c r="H211" s="2" t="s">
        <v>70</v>
      </c>
      <c r="I211" s="2" t="s">
        <v>45</v>
      </c>
      <c r="J211" s="2" t="s">
        <v>25</v>
      </c>
      <c r="K211" s="2">
        <v>3</v>
      </c>
      <c r="L211" s="15">
        <v>22000</v>
      </c>
      <c r="M211" s="2">
        <v>10</v>
      </c>
      <c r="N211" s="15">
        <v>59400</v>
      </c>
      <c r="O211" s="15">
        <v>42000</v>
      </c>
      <c r="P211" s="15">
        <v>17400</v>
      </c>
      <c r="Q211" s="2" t="s">
        <v>64</v>
      </c>
      <c r="R211" s="2" t="s">
        <v>38</v>
      </c>
    </row>
    <row r="212" spans="1:18" x14ac:dyDescent="0.2">
      <c r="A212" s="2" t="s">
        <v>280</v>
      </c>
      <c r="B212" s="3">
        <v>45865</v>
      </c>
      <c r="C212" s="2" t="s">
        <v>81</v>
      </c>
      <c r="D212" s="2" t="s">
        <v>20</v>
      </c>
      <c r="E212" s="2">
        <v>29</v>
      </c>
      <c r="F212" s="2" t="s">
        <v>21</v>
      </c>
      <c r="G212" s="2" t="s">
        <v>50</v>
      </c>
      <c r="H212" s="2" t="s">
        <v>51</v>
      </c>
      <c r="I212" s="2" t="s">
        <v>31</v>
      </c>
      <c r="J212" s="2" t="s">
        <v>46</v>
      </c>
      <c r="K212" s="2">
        <v>2</v>
      </c>
      <c r="L212" s="15">
        <v>16000</v>
      </c>
      <c r="M212" s="2">
        <v>5</v>
      </c>
      <c r="N212" s="15">
        <v>30400</v>
      </c>
      <c r="O212" s="15">
        <v>20000</v>
      </c>
      <c r="P212" s="15">
        <v>10400</v>
      </c>
      <c r="Q212" s="2" t="s">
        <v>64</v>
      </c>
      <c r="R212" s="2" t="s">
        <v>33</v>
      </c>
    </row>
    <row r="213" spans="1:18" x14ac:dyDescent="0.2">
      <c r="A213" s="2" t="s">
        <v>281</v>
      </c>
      <c r="B213" s="3">
        <v>45710</v>
      </c>
      <c r="C213" s="2" t="s">
        <v>73</v>
      </c>
      <c r="D213" s="2" t="s">
        <v>41</v>
      </c>
      <c r="E213" s="2">
        <v>49</v>
      </c>
      <c r="F213" s="2" t="s">
        <v>42</v>
      </c>
      <c r="G213" s="2" t="s">
        <v>69</v>
      </c>
      <c r="H213" s="2" t="s">
        <v>70</v>
      </c>
      <c r="I213" s="2" t="s">
        <v>45</v>
      </c>
      <c r="J213" s="2" t="s">
        <v>52</v>
      </c>
      <c r="K213" s="2">
        <v>2</v>
      </c>
      <c r="L213" s="15">
        <v>22000</v>
      </c>
      <c r="M213" s="2">
        <v>15</v>
      </c>
      <c r="N213" s="15">
        <v>37400</v>
      </c>
      <c r="O213" s="15">
        <v>28000</v>
      </c>
      <c r="P213" s="15">
        <v>9400</v>
      </c>
      <c r="Q213" s="2" t="s">
        <v>64</v>
      </c>
      <c r="R213" s="2" t="s">
        <v>27</v>
      </c>
    </row>
    <row r="214" spans="1:18" x14ac:dyDescent="0.2">
      <c r="A214" s="2" t="s">
        <v>282</v>
      </c>
      <c r="B214" s="3">
        <v>45696</v>
      </c>
      <c r="C214" s="2" t="s">
        <v>78</v>
      </c>
      <c r="D214" s="2" t="s">
        <v>41</v>
      </c>
      <c r="E214" s="2">
        <v>51</v>
      </c>
      <c r="F214" s="2" t="s">
        <v>68</v>
      </c>
      <c r="G214" s="2" t="s">
        <v>36</v>
      </c>
      <c r="H214" s="2" t="s">
        <v>37</v>
      </c>
      <c r="I214" s="2" t="s">
        <v>71</v>
      </c>
      <c r="J214" s="2" t="s">
        <v>52</v>
      </c>
      <c r="K214" s="2">
        <v>4</v>
      </c>
      <c r="L214" s="15">
        <v>8000</v>
      </c>
      <c r="M214" s="2">
        <v>15</v>
      </c>
      <c r="N214" s="15">
        <v>27200</v>
      </c>
      <c r="O214" s="15">
        <v>18000</v>
      </c>
      <c r="P214" s="15">
        <v>9200</v>
      </c>
      <c r="Q214" s="2" t="s">
        <v>47</v>
      </c>
      <c r="R214" s="2" t="s">
        <v>27</v>
      </c>
    </row>
    <row r="215" spans="1:18" x14ac:dyDescent="0.2">
      <c r="A215" s="2" t="s">
        <v>283</v>
      </c>
      <c r="B215" s="3">
        <v>45894</v>
      </c>
      <c r="C215" s="2" t="s">
        <v>29</v>
      </c>
      <c r="D215" s="2" t="s">
        <v>41</v>
      </c>
      <c r="E215" s="2">
        <v>54</v>
      </c>
      <c r="F215" s="2" t="s">
        <v>49</v>
      </c>
      <c r="G215" s="2" t="s">
        <v>22</v>
      </c>
      <c r="H215" s="2" t="s">
        <v>23</v>
      </c>
      <c r="I215" s="2" t="s">
        <v>71</v>
      </c>
      <c r="J215" s="2" t="s">
        <v>66</v>
      </c>
      <c r="K215" s="2">
        <v>1</v>
      </c>
      <c r="L215" s="15">
        <v>15000</v>
      </c>
      <c r="M215" s="2">
        <v>15</v>
      </c>
      <c r="N215" s="15">
        <v>12750</v>
      </c>
      <c r="O215" s="15">
        <v>9000</v>
      </c>
      <c r="P215" s="15">
        <v>3750</v>
      </c>
      <c r="Q215" s="2" t="s">
        <v>64</v>
      </c>
      <c r="R215" s="2" t="s">
        <v>38</v>
      </c>
    </row>
    <row r="216" spans="1:18" x14ac:dyDescent="0.2">
      <c r="A216" s="2" t="s">
        <v>284</v>
      </c>
      <c r="B216" s="3">
        <v>45910</v>
      </c>
      <c r="C216" s="2" t="s">
        <v>73</v>
      </c>
      <c r="D216" s="2" t="s">
        <v>41</v>
      </c>
      <c r="E216" s="2">
        <v>32</v>
      </c>
      <c r="F216" s="2" t="s">
        <v>21</v>
      </c>
      <c r="G216" s="2" t="s">
        <v>36</v>
      </c>
      <c r="H216" s="2" t="s">
        <v>37</v>
      </c>
      <c r="I216" s="2" t="s">
        <v>24</v>
      </c>
      <c r="J216" s="2" t="s">
        <v>66</v>
      </c>
      <c r="K216" s="2">
        <v>4</v>
      </c>
      <c r="L216" s="15">
        <v>8000</v>
      </c>
      <c r="M216" s="2">
        <v>0</v>
      </c>
      <c r="N216" s="15">
        <v>32000</v>
      </c>
      <c r="O216" s="15">
        <v>18000</v>
      </c>
      <c r="P216" s="15">
        <v>14000</v>
      </c>
      <c r="Q216" s="2" t="s">
        <v>47</v>
      </c>
      <c r="R216" s="2" t="s">
        <v>33</v>
      </c>
    </row>
    <row r="217" spans="1:18" x14ac:dyDescent="0.2">
      <c r="A217" s="2" t="s">
        <v>285</v>
      </c>
      <c r="B217" s="3">
        <v>46015</v>
      </c>
      <c r="C217" s="2" t="s">
        <v>19</v>
      </c>
      <c r="D217" s="2" t="s">
        <v>41</v>
      </c>
      <c r="E217" s="2">
        <v>25</v>
      </c>
      <c r="F217" s="2" t="s">
        <v>30</v>
      </c>
      <c r="G217" s="2" t="s">
        <v>43</v>
      </c>
      <c r="H217" s="2" t="s">
        <v>60</v>
      </c>
      <c r="I217" s="2" t="s">
        <v>71</v>
      </c>
      <c r="J217" s="2" t="s">
        <v>66</v>
      </c>
      <c r="K217" s="2">
        <v>1</v>
      </c>
      <c r="L217" s="15">
        <v>15000</v>
      </c>
      <c r="M217" s="2">
        <v>10</v>
      </c>
      <c r="N217" s="15">
        <v>13500</v>
      </c>
      <c r="O217" s="15">
        <v>9000</v>
      </c>
      <c r="P217" s="15">
        <v>4500</v>
      </c>
      <c r="Q217" s="2" t="s">
        <v>26</v>
      </c>
      <c r="R217" s="2" t="s">
        <v>38</v>
      </c>
    </row>
    <row r="218" spans="1:18" x14ac:dyDescent="0.2">
      <c r="A218" s="2" t="s">
        <v>286</v>
      </c>
      <c r="B218" s="3">
        <v>45917</v>
      </c>
      <c r="C218" s="2" t="s">
        <v>89</v>
      </c>
      <c r="D218" s="2" t="s">
        <v>41</v>
      </c>
      <c r="E218" s="2">
        <v>55</v>
      </c>
      <c r="F218" s="2" t="s">
        <v>21</v>
      </c>
      <c r="G218" s="2" t="s">
        <v>50</v>
      </c>
      <c r="H218" s="2" t="s">
        <v>57</v>
      </c>
      <c r="I218" s="2" t="s">
        <v>24</v>
      </c>
      <c r="J218" s="2" t="s">
        <v>52</v>
      </c>
      <c r="K218" s="2">
        <v>4</v>
      </c>
      <c r="L218" s="15">
        <v>14000</v>
      </c>
      <c r="M218" s="2">
        <v>5</v>
      </c>
      <c r="N218" s="15">
        <v>53200</v>
      </c>
      <c r="O218" s="15">
        <v>34000</v>
      </c>
      <c r="P218" s="15">
        <v>19200</v>
      </c>
      <c r="Q218" s="2" t="s">
        <v>26</v>
      </c>
      <c r="R218" s="2" t="s">
        <v>58</v>
      </c>
    </row>
    <row r="219" spans="1:18" x14ac:dyDescent="0.2">
      <c r="A219" s="2" t="s">
        <v>287</v>
      </c>
      <c r="B219" s="3">
        <v>45678</v>
      </c>
      <c r="C219" s="2" t="s">
        <v>73</v>
      </c>
      <c r="D219" s="2" t="s">
        <v>20</v>
      </c>
      <c r="E219" s="2">
        <v>45</v>
      </c>
      <c r="F219" s="2" t="s">
        <v>49</v>
      </c>
      <c r="G219" s="2" t="s">
        <v>50</v>
      </c>
      <c r="H219" s="2" t="s">
        <v>51</v>
      </c>
      <c r="I219" s="2" t="s">
        <v>45</v>
      </c>
      <c r="J219" s="2" t="s">
        <v>25</v>
      </c>
      <c r="K219" s="2">
        <v>4</v>
      </c>
      <c r="L219" s="15">
        <v>16000</v>
      </c>
      <c r="M219" s="2">
        <v>5</v>
      </c>
      <c r="N219" s="15">
        <v>60800</v>
      </c>
      <c r="O219" s="15">
        <v>40000</v>
      </c>
      <c r="P219" s="15">
        <v>20800</v>
      </c>
      <c r="Q219" s="2" t="s">
        <v>26</v>
      </c>
      <c r="R219" s="2" t="s">
        <v>58</v>
      </c>
    </row>
    <row r="220" spans="1:18" x14ac:dyDescent="0.2">
      <c r="A220" s="2" t="s">
        <v>288</v>
      </c>
      <c r="B220" s="3">
        <v>45831</v>
      </c>
      <c r="C220" s="2" t="s">
        <v>54</v>
      </c>
      <c r="D220" s="2" t="s">
        <v>41</v>
      </c>
      <c r="E220" s="2">
        <v>48</v>
      </c>
      <c r="F220" s="2" t="s">
        <v>30</v>
      </c>
      <c r="G220" s="2" t="s">
        <v>43</v>
      </c>
      <c r="H220" s="2" t="s">
        <v>60</v>
      </c>
      <c r="I220" s="2" t="s">
        <v>24</v>
      </c>
      <c r="J220" s="2" t="s">
        <v>46</v>
      </c>
      <c r="K220" s="2">
        <v>1</v>
      </c>
      <c r="L220" s="15">
        <v>15000</v>
      </c>
      <c r="M220" s="2">
        <v>0</v>
      </c>
      <c r="N220" s="15">
        <v>15000</v>
      </c>
      <c r="O220" s="15">
        <v>9000</v>
      </c>
      <c r="P220" s="15">
        <v>6000</v>
      </c>
      <c r="Q220" s="2" t="s">
        <v>47</v>
      </c>
      <c r="R220" s="2" t="s">
        <v>58</v>
      </c>
    </row>
    <row r="221" spans="1:18" x14ac:dyDescent="0.2">
      <c r="A221" s="2" t="s">
        <v>289</v>
      </c>
      <c r="B221" s="3">
        <v>45672</v>
      </c>
      <c r="C221" s="2" t="s">
        <v>73</v>
      </c>
      <c r="D221" s="2" t="s">
        <v>20</v>
      </c>
      <c r="E221" s="2">
        <v>40</v>
      </c>
      <c r="F221" s="2" t="s">
        <v>49</v>
      </c>
      <c r="G221" s="2" t="s">
        <v>50</v>
      </c>
      <c r="H221" s="2" t="s">
        <v>51</v>
      </c>
      <c r="I221" s="2" t="s">
        <v>71</v>
      </c>
      <c r="J221" s="2" t="s">
        <v>95</v>
      </c>
      <c r="K221" s="2">
        <v>4</v>
      </c>
      <c r="L221" s="15">
        <v>16000</v>
      </c>
      <c r="M221" s="2">
        <v>10</v>
      </c>
      <c r="N221" s="15">
        <v>57600</v>
      </c>
      <c r="O221" s="15">
        <v>40000</v>
      </c>
      <c r="P221" s="15">
        <v>17600</v>
      </c>
      <c r="Q221" s="2" t="s">
        <v>64</v>
      </c>
      <c r="R221" s="2" t="s">
        <v>33</v>
      </c>
    </row>
    <row r="222" spans="1:18" x14ac:dyDescent="0.2">
      <c r="A222" s="2" t="s">
        <v>290</v>
      </c>
      <c r="B222" s="3">
        <v>45714</v>
      </c>
      <c r="C222" s="2" t="s">
        <v>19</v>
      </c>
      <c r="D222" s="2" t="s">
        <v>41</v>
      </c>
      <c r="E222" s="2">
        <v>46</v>
      </c>
      <c r="F222" s="2" t="s">
        <v>42</v>
      </c>
      <c r="G222" s="2" t="s">
        <v>22</v>
      </c>
      <c r="H222" s="2" t="s">
        <v>74</v>
      </c>
      <c r="I222" s="2" t="s">
        <v>71</v>
      </c>
      <c r="J222" s="2" t="s">
        <v>52</v>
      </c>
      <c r="K222" s="2">
        <v>4</v>
      </c>
      <c r="L222" s="15">
        <v>18000</v>
      </c>
      <c r="M222" s="2">
        <v>5</v>
      </c>
      <c r="N222" s="15">
        <v>68400</v>
      </c>
      <c r="O222" s="15">
        <v>44000</v>
      </c>
      <c r="P222" s="15">
        <v>24400</v>
      </c>
      <c r="Q222" s="2" t="s">
        <v>47</v>
      </c>
      <c r="R222" s="2" t="s">
        <v>38</v>
      </c>
    </row>
    <row r="223" spans="1:18" x14ac:dyDescent="0.2">
      <c r="A223" s="2" t="s">
        <v>291</v>
      </c>
      <c r="B223" s="3">
        <v>45828</v>
      </c>
      <c r="C223" s="2" t="s">
        <v>86</v>
      </c>
      <c r="D223" s="2" t="s">
        <v>20</v>
      </c>
      <c r="E223" s="2">
        <v>46</v>
      </c>
      <c r="F223" s="2" t="s">
        <v>68</v>
      </c>
      <c r="G223" s="2" t="s">
        <v>50</v>
      </c>
      <c r="H223" s="2" t="s">
        <v>57</v>
      </c>
      <c r="I223" s="2" t="s">
        <v>24</v>
      </c>
      <c r="J223" s="2" t="s">
        <v>46</v>
      </c>
      <c r="K223" s="2">
        <v>4</v>
      </c>
      <c r="L223" s="15">
        <v>14000</v>
      </c>
      <c r="M223" s="2">
        <v>0</v>
      </c>
      <c r="N223" s="15">
        <v>56000</v>
      </c>
      <c r="O223" s="15">
        <v>34000</v>
      </c>
      <c r="P223" s="15">
        <v>22000</v>
      </c>
      <c r="Q223" s="2" t="s">
        <v>47</v>
      </c>
      <c r="R223" s="2" t="s">
        <v>58</v>
      </c>
    </row>
    <row r="224" spans="1:18" x14ac:dyDescent="0.2">
      <c r="A224" s="2" t="s">
        <v>292</v>
      </c>
      <c r="B224" s="3">
        <v>46017</v>
      </c>
      <c r="C224" s="2" t="s">
        <v>62</v>
      </c>
      <c r="D224" s="2" t="s">
        <v>20</v>
      </c>
      <c r="E224" s="2">
        <v>50</v>
      </c>
      <c r="F224" s="2" t="s">
        <v>42</v>
      </c>
      <c r="G224" s="2" t="s">
        <v>36</v>
      </c>
      <c r="H224" s="2" t="s">
        <v>76</v>
      </c>
      <c r="I224" s="2" t="s">
        <v>45</v>
      </c>
      <c r="J224" s="2" t="s">
        <v>52</v>
      </c>
      <c r="K224" s="2">
        <v>1</v>
      </c>
      <c r="L224" s="15">
        <v>10000</v>
      </c>
      <c r="M224" s="2">
        <v>10</v>
      </c>
      <c r="N224" s="15">
        <v>9000</v>
      </c>
      <c r="O224" s="15">
        <v>6000</v>
      </c>
      <c r="P224" s="15">
        <v>3000</v>
      </c>
      <c r="Q224" s="2" t="s">
        <v>26</v>
      </c>
      <c r="R224" s="2" t="s">
        <v>27</v>
      </c>
    </row>
    <row r="225" spans="1:18" x14ac:dyDescent="0.2">
      <c r="A225" s="2" t="s">
        <v>293</v>
      </c>
      <c r="B225" s="3">
        <v>45958</v>
      </c>
      <c r="C225" s="2" t="s">
        <v>29</v>
      </c>
      <c r="D225" s="2" t="s">
        <v>20</v>
      </c>
      <c r="E225" s="2">
        <v>32</v>
      </c>
      <c r="F225" s="2" t="s">
        <v>21</v>
      </c>
      <c r="G225" s="2" t="s">
        <v>22</v>
      </c>
      <c r="H225" s="2" t="s">
        <v>23</v>
      </c>
      <c r="I225" s="2" t="s">
        <v>45</v>
      </c>
      <c r="J225" s="2" t="s">
        <v>46</v>
      </c>
      <c r="K225" s="2">
        <v>4</v>
      </c>
      <c r="L225" s="15">
        <v>15000</v>
      </c>
      <c r="M225" s="2">
        <v>10</v>
      </c>
      <c r="N225" s="15">
        <v>54000</v>
      </c>
      <c r="O225" s="15">
        <v>36000</v>
      </c>
      <c r="P225" s="15">
        <v>18000</v>
      </c>
      <c r="Q225" s="2" t="s">
        <v>64</v>
      </c>
      <c r="R225" s="2" t="s">
        <v>27</v>
      </c>
    </row>
    <row r="226" spans="1:18" x14ac:dyDescent="0.2">
      <c r="A226" s="2" t="s">
        <v>294</v>
      </c>
      <c r="B226" s="3">
        <v>45674</v>
      </c>
      <c r="C226" s="2" t="s">
        <v>19</v>
      </c>
      <c r="D226" s="2" t="s">
        <v>20</v>
      </c>
      <c r="E226" s="2">
        <v>48</v>
      </c>
      <c r="F226" s="2" t="s">
        <v>30</v>
      </c>
      <c r="G226" s="2" t="s">
        <v>50</v>
      </c>
      <c r="H226" s="2" t="s">
        <v>57</v>
      </c>
      <c r="I226" s="2" t="s">
        <v>31</v>
      </c>
      <c r="J226" s="2" t="s">
        <v>66</v>
      </c>
      <c r="K226" s="2">
        <v>3</v>
      </c>
      <c r="L226" s="15">
        <v>14000</v>
      </c>
      <c r="M226" s="2">
        <v>0</v>
      </c>
      <c r="N226" s="15">
        <v>42000</v>
      </c>
      <c r="O226" s="15">
        <v>25500</v>
      </c>
      <c r="P226" s="15">
        <v>16500</v>
      </c>
      <c r="Q226" s="2" t="s">
        <v>26</v>
      </c>
      <c r="R226" s="2" t="s">
        <v>27</v>
      </c>
    </row>
    <row r="227" spans="1:18" x14ac:dyDescent="0.2">
      <c r="A227" s="2" t="s">
        <v>295</v>
      </c>
      <c r="B227" s="3">
        <v>45772</v>
      </c>
      <c r="C227" s="2" t="s">
        <v>56</v>
      </c>
      <c r="D227" s="2" t="s">
        <v>20</v>
      </c>
      <c r="E227" s="2">
        <v>50</v>
      </c>
      <c r="F227" s="2" t="s">
        <v>68</v>
      </c>
      <c r="G227" s="2" t="s">
        <v>22</v>
      </c>
      <c r="H227" s="2" t="s">
        <v>23</v>
      </c>
      <c r="I227" s="2" t="s">
        <v>24</v>
      </c>
      <c r="J227" s="2" t="s">
        <v>46</v>
      </c>
      <c r="K227" s="2">
        <v>1</v>
      </c>
      <c r="L227" s="15">
        <v>15000</v>
      </c>
      <c r="M227" s="2">
        <v>10</v>
      </c>
      <c r="N227" s="15">
        <v>13500</v>
      </c>
      <c r="O227" s="15">
        <v>9000</v>
      </c>
      <c r="P227" s="15">
        <v>4500</v>
      </c>
      <c r="Q227" s="2" t="s">
        <v>47</v>
      </c>
      <c r="R227" s="2" t="s">
        <v>27</v>
      </c>
    </row>
    <row r="228" spans="1:18" x14ac:dyDescent="0.2">
      <c r="A228" s="2" t="s">
        <v>296</v>
      </c>
      <c r="B228" s="3">
        <v>45781</v>
      </c>
      <c r="C228" s="2" t="s">
        <v>86</v>
      </c>
      <c r="D228" s="2" t="s">
        <v>41</v>
      </c>
      <c r="E228" s="2">
        <v>26</v>
      </c>
      <c r="F228" s="2" t="s">
        <v>49</v>
      </c>
      <c r="G228" s="2" t="s">
        <v>22</v>
      </c>
      <c r="H228" s="2" t="s">
        <v>74</v>
      </c>
      <c r="I228" s="2" t="s">
        <v>71</v>
      </c>
      <c r="J228" s="2" t="s">
        <v>46</v>
      </c>
      <c r="K228" s="2">
        <v>4</v>
      </c>
      <c r="L228" s="15">
        <v>18000</v>
      </c>
      <c r="M228" s="2">
        <v>0</v>
      </c>
      <c r="N228" s="15">
        <v>72000</v>
      </c>
      <c r="O228" s="15">
        <v>44000</v>
      </c>
      <c r="P228" s="15">
        <v>28000</v>
      </c>
      <c r="Q228" s="2" t="s">
        <v>26</v>
      </c>
      <c r="R228" s="2" t="s">
        <v>58</v>
      </c>
    </row>
    <row r="229" spans="1:18" x14ac:dyDescent="0.2">
      <c r="A229" s="2" t="s">
        <v>297</v>
      </c>
      <c r="B229" s="3">
        <v>45703</v>
      </c>
      <c r="C229" s="2" t="s">
        <v>19</v>
      </c>
      <c r="D229" s="2" t="s">
        <v>20</v>
      </c>
      <c r="E229" s="2">
        <v>52</v>
      </c>
      <c r="F229" s="2" t="s">
        <v>21</v>
      </c>
      <c r="G229" s="2" t="s">
        <v>50</v>
      </c>
      <c r="H229" s="2" t="s">
        <v>51</v>
      </c>
      <c r="I229" s="2" t="s">
        <v>31</v>
      </c>
      <c r="J229" s="2" t="s">
        <v>25</v>
      </c>
      <c r="K229" s="2">
        <v>2</v>
      </c>
      <c r="L229" s="15">
        <v>16000</v>
      </c>
      <c r="M229" s="2">
        <v>10</v>
      </c>
      <c r="N229" s="15">
        <v>28800</v>
      </c>
      <c r="O229" s="15">
        <v>20000</v>
      </c>
      <c r="P229" s="15">
        <v>8800</v>
      </c>
      <c r="Q229" s="2" t="s">
        <v>47</v>
      </c>
      <c r="R229" s="2" t="s">
        <v>38</v>
      </c>
    </row>
    <row r="230" spans="1:18" x14ac:dyDescent="0.2">
      <c r="A230" s="2" t="s">
        <v>298</v>
      </c>
      <c r="B230" s="3">
        <v>45763</v>
      </c>
      <c r="C230" s="2" t="s">
        <v>89</v>
      </c>
      <c r="D230" s="2" t="s">
        <v>41</v>
      </c>
      <c r="E230" s="2">
        <v>26</v>
      </c>
      <c r="F230" s="2" t="s">
        <v>49</v>
      </c>
      <c r="G230" s="2" t="s">
        <v>50</v>
      </c>
      <c r="H230" s="2" t="s">
        <v>51</v>
      </c>
      <c r="I230" s="2" t="s">
        <v>24</v>
      </c>
      <c r="J230" s="2" t="s">
        <v>32</v>
      </c>
      <c r="K230" s="2">
        <v>2</v>
      </c>
      <c r="L230" s="15">
        <v>16000</v>
      </c>
      <c r="M230" s="2">
        <v>10</v>
      </c>
      <c r="N230" s="15">
        <v>28800</v>
      </c>
      <c r="O230" s="15">
        <v>20000</v>
      </c>
      <c r="P230" s="15">
        <v>8800</v>
      </c>
      <c r="Q230" s="2" t="s">
        <v>26</v>
      </c>
      <c r="R230" s="2" t="s">
        <v>33</v>
      </c>
    </row>
    <row r="231" spans="1:18" x14ac:dyDescent="0.2">
      <c r="A231" s="2" t="s">
        <v>299</v>
      </c>
      <c r="B231" s="3">
        <v>45658</v>
      </c>
      <c r="C231" s="2" t="s">
        <v>54</v>
      </c>
      <c r="D231" s="2" t="s">
        <v>41</v>
      </c>
      <c r="E231" s="2">
        <v>21</v>
      </c>
      <c r="F231" s="2" t="s">
        <v>49</v>
      </c>
      <c r="G231" s="2" t="s">
        <v>50</v>
      </c>
      <c r="H231" s="2" t="s">
        <v>51</v>
      </c>
      <c r="I231" s="2" t="s">
        <v>31</v>
      </c>
      <c r="J231" s="2" t="s">
        <v>95</v>
      </c>
      <c r="K231" s="2">
        <v>1</v>
      </c>
      <c r="L231" s="15">
        <v>16000</v>
      </c>
      <c r="M231" s="2">
        <v>0</v>
      </c>
      <c r="N231" s="15">
        <v>16000</v>
      </c>
      <c r="O231" s="15">
        <v>10000</v>
      </c>
      <c r="P231" s="15">
        <v>6000</v>
      </c>
      <c r="Q231" s="2" t="s">
        <v>47</v>
      </c>
      <c r="R231" s="2" t="s">
        <v>33</v>
      </c>
    </row>
    <row r="232" spans="1:18" x14ac:dyDescent="0.2">
      <c r="A232" s="2" t="s">
        <v>300</v>
      </c>
      <c r="B232" s="3">
        <v>45696</v>
      </c>
      <c r="C232" s="2" t="s">
        <v>40</v>
      </c>
      <c r="D232" s="2" t="s">
        <v>20</v>
      </c>
      <c r="E232" s="2">
        <v>54</v>
      </c>
      <c r="F232" s="2" t="s">
        <v>49</v>
      </c>
      <c r="G232" s="2" t="s">
        <v>36</v>
      </c>
      <c r="H232" s="2" t="s">
        <v>76</v>
      </c>
      <c r="I232" s="2" t="s">
        <v>31</v>
      </c>
      <c r="J232" s="2" t="s">
        <v>95</v>
      </c>
      <c r="K232" s="2">
        <v>3</v>
      </c>
      <c r="L232" s="15">
        <v>10000</v>
      </c>
      <c r="M232" s="2">
        <v>10</v>
      </c>
      <c r="N232" s="15">
        <v>27000</v>
      </c>
      <c r="O232" s="15">
        <v>18000</v>
      </c>
      <c r="P232" s="15">
        <v>9000</v>
      </c>
      <c r="Q232" s="2" t="s">
        <v>64</v>
      </c>
      <c r="R232" s="2" t="s">
        <v>58</v>
      </c>
    </row>
    <row r="233" spans="1:18" x14ac:dyDescent="0.2">
      <c r="A233" s="2" t="s">
        <v>301</v>
      </c>
      <c r="B233" s="3">
        <v>45891</v>
      </c>
      <c r="C233" s="2" t="s">
        <v>29</v>
      </c>
      <c r="D233" s="2" t="s">
        <v>41</v>
      </c>
      <c r="E233" s="2">
        <v>27</v>
      </c>
      <c r="F233" s="2" t="s">
        <v>21</v>
      </c>
      <c r="G233" s="2" t="s">
        <v>43</v>
      </c>
      <c r="H233" s="2" t="s">
        <v>60</v>
      </c>
      <c r="I233" s="2" t="s">
        <v>45</v>
      </c>
      <c r="J233" s="2" t="s">
        <v>52</v>
      </c>
      <c r="K233" s="2">
        <v>4</v>
      </c>
      <c r="L233" s="15">
        <v>15000</v>
      </c>
      <c r="M233" s="2">
        <v>0</v>
      </c>
      <c r="N233" s="15">
        <v>60000</v>
      </c>
      <c r="O233" s="15">
        <v>36000</v>
      </c>
      <c r="P233" s="15">
        <v>24000</v>
      </c>
      <c r="Q233" s="2" t="s">
        <v>47</v>
      </c>
      <c r="R233" s="2" t="s">
        <v>33</v>
      </c>
    </row>
    <row r="234" spans="1:18" x14ac:dyDescent="0.2">
      <c r="A234" s="2" t="s">
        <v>302</v>
      </c>
      <c r="B234" s="3">
        <v>45845</v>
      </c>
      <c r="C234" s="2" t="s">
        <v>54</v>
      </c>
      <c r="D234" s="2" t="s">
        <v>20</v>
      </c>
      <c r="E234" s="2">
        <v>39</v>
      </c>
      <c r="F234" s="2" t="s">
        <v>49</v>
      </c>
      <c r="G234" s="2" t="s">
        <v>43</v>
      </c>
      <c r="H234" s="2" t="s">
        <v>60</v>
      </c>
      <c r="I234" s="2" t="s">
        <v>31</v>
      </c>
      <c r="J234" s="2" t="s">
        <v>25</v>
      </c>
      <c r="K234" s="2">
        <v>3</v>
      </c>
      <c r="L234" s="15">
        <v>15000</v>
      </c>
      <c r="M234" s="2">
        <v>15</v>
      </c>
      <c r="N234" s="15">
        <v>38250</v>
      </c>
      <c r="O234" s="15">
        <v>27000</v>
      </c>
      <c r="P234" s="15">
        <v>11250</v>
      </c>
      <c r="Q234" s="2" t="s">
        <v>47</v>
      </c>
      <c r="R234" s="2" t="s">
        <v>58</v>
      </c>
    </row>
    <row r="235" spans="1:18" x14ac:dyDescent="0.2">
      <c r="A235" s="2" t="s">
        <v>303</v>
      </c>
      <c r="B235" s="3">
        <v>45711</v>
      </c>
      <c r="C235" s="2" t="s">
        <v>81</v>
      </c>
      <c r="D235" s="2" t="s">
        <v>20</v>
      </c>
      <c r="E235" s="2">
        <v>26</v>
      </c>
      <c r="F235" s="2" t="s">
        <v>49</v>
      </c>
      <c r="G235" s="2" t="s">
        <v>22</v>
      </c>
      <c r="H235" s="2" t="s">
        <v>23</v>
      </c>
      <c r="I235" s="2" t="s">
        <v>24</v>
      </c>
      <c r="J235" s="2" t="s">
        <v>32</v>
      </c>
      <c r="K235" s="2">
        <v>3</v>
      </c>
      <c r="L235" s="15">
        <v>15000</v>
      </c>
      <c r="M235" s="2">
        <v>10</v>
      </c>
      <c r="N235" s="15">
        <v>40500</v>
      </c>
      <c r="O235" s="15">
        <v>27000</v>
      </c>
      <c r="P235" s="15">
        <v>13500</v>
      </c>
      <c r="Q235" s="2" t="s">
        <v>26</v>
      </c>
      <c r="R235" s="2" t="s">
        <v>33</v>
      </c>
    </row>
    <row r="236" spans="1:18" x14ac:dyDescent="0.2">
      <c r="A236" s="2" t="s">
        <v>304</v>
      </c>
      <c r="B236" s="3">
        <v>45746</v>
      </c>
      <c r="C236" s="2" t="s">
        <v>35</v>
      </c>
      <c r="D236" s="2" t="s">
        <v>41</v>
      </c>
      <c r="E236" s="2">
        <v>53</v>
      </c>
      <c r="F236" s="2" t="s">
        <v>21</v>
      </c>
      <c r="G236" s="2" t="s">
        <v>69</v>
      </c>
      <c r="H236" s="2" t="s">
        <v>70</v>
      </c>
      <c r="I236" s="2" t="s">
        <v>71</v>
      </c>
      <c r="J236" s="2" t="s">
        <v>66</v>
      </c>
      <c r="K236" s="2">
        <v>4</v>
      </c>
      <c r="L236" s="15">
        <v>22000</v>
      </c>
      <c r="M236" s="2">
        <v>5</v>
      </c>
      <c r="N236" s="15">
        <v>83600</v>
      </c>
      <c r="O236" s="15">
        <v>56000</v>
      </c>
      <c r="P236" s="15">
        <v>27600</v>
      </c>
      <c r="Q236" s="2" t="s">
        <v>26</v>
      </c>
      <c r="R236" s="2" t="s">
        <v>58</v>
      </c>
    </row>
    <row r="237" spans="1:18" x14ac:dyDescent="0.2">
      <c r="A237" s="2" t="s">
        <v>305</v>
      </c>
      <c r="B237" s="3">
        <v>45909</v>
      </c>
      <c r="C237" s="2" t="s">
        <v>81</v>
      </c>
      <c r="D237" s="2" t="s">
        <v>20</v>
      </c>
      <c r="E237" s="2">
        <v>30</v>
      </c>
      <c r="F237" s="2" t="s">
        <v>21</v>
      </c>
      <c r="G237" s="2" t="s">
        <v>50</v>
      </c>
      <c r="H237" s="2" t="s">
        <v>57</v>
      </c>
      <c r="I237" s="2" t="s">
        <v>45</v>
      </c>
      <c r="J237" s="2" t="s">
        <v>95</v>
      </c>
      <c r="K237" s="2">
        <v>1</v>
      </c>
      <c r="L237" s="15">
        <v>14000</v>
      </c>
      <c r="M237" s="2">
        <v>0</v>
      </c>
      <c r="N237" s="15">
        <v>14000</v>
      </c>
      <c r="O237" s="15">
        <v>8500</v>
      </c>
      <c r="P237" s="15">
        <v>5500</v>
      </c>
      <c r="Q237" s="2" t="s">
        <v>64</v>
      </c>
      <c r="R237" s="2" t="s">
        <v>58</v>
      </c>
    </row>
    <row r="238" spans="1:18" x14ac:dyDescent="0.2">
      <c r="A238" s="2" t="s">
        <v>306</v>
      </c>
      <c r="B238" s="3">
        <v>45817</v>
      </c>
      <c r="C238" s="2" t="s">
        <v>54</v>
      </c>
      <c r="D238" s="2" t="s">
        <v>20</v>
      </c>
      <c r="E238" s="2">
        <v>29</v>
      </c>
      <c r="F238" s="2" t="s">
        <v>21</v>
      </c>
      <c r="G238" s="2" t="s">
        <v>22</v>
      </c>
      <c r="H238" s="2" t="s">
        <v>23</v>
      </c>
      <c r="I238" s="2" t="s">
        <v>31</v>
      </c>
      <c r="J238" s="2" t="s">
        <v>32</v>
      </c>
      <c r="K238" s="2">
        <v>2</v>
      </c>
      <c r="L238" s="15">
        <v>15000</v>
      </c>
      <c r="M238" s="2">
        <v>15</v>
      </c>
      <c r="N238" s="15">
        <v>25500</v>
      </c>
      <c r="O238" s="15">
        <v>18000</v>
      </c>
      <c r="P238" s="15">
        <v>7500</v>
      </c>
      <c r="Q238" s="2" t="s">
        <v>47</v>
      </c>
      <c r="R238" s="2" t="s">
        <v>38</v>
      </c>
    </row>
    <row r="239" spans="1:18" x14ac:dyDescent="0.2">
      <c r="A239" s="2" t="s">
        <v>307</v>
      </c>
      <c r="B239" s="3">
        <v>45721</v>
      </c>
      <c r="C239" s="2" t="s">
        <v>78</v>
      </c>
      <c r="D239" s="2" t="s">
        <v>41</v>
      </c>
      <c r="E239" s="2">
        <v>48</v>
      </c>
      <c r="F239" s="2" t="s">
        <v>49</v>
      </c>
      <c r="G239" s="2" t="s">
        <v>50</v>
      </c>
      <c r="H239" s="2" t="s">
        <v>57</v>
      </c>
      <c r="I239" s="2" t="s">
        <v>45</v>
      </c>
      <c r="J239" s="2" t="s">
        <v>25</v>
      </c>
      <c r="K239" s="2">
        <v>1</v>
      </c>
      <c r="L239" s="15">
        <v>14000</v>
      </c>
      <c r="M239" s="2">
        <v>10</v>
      </c>
      <c r="N239" s="15">
        <v>12600</v>
      </c>
      <c r="O239" s="15">
        <v>8500</v>
      </c>
      <c r="P239" s="15">
        <v>4100</v>
      </c>
      <c r="Q239" s="2" t="s">
        <v>26</v>
      </c>
      <c r="R239" s="2" t="s">
        <v>38</v>
      </c>
    </row>
    <row r="240" spans="1:18" x14ac:dyDescent="0.2">
      <c r="A240" s="2" t="s">
        <v>308</v>
      </c>
      <c r="B240" s="3">
        <v>46005</v>
      </c>
      <c r="C240" s="2" t="s">
        <v>29</v>
      </c>
      <c r="D240" s="2" t="s">
        <v>20</v>
      </c>
      <c r="E240" s="2">
        <v>40</v>
      </c>
      <c r="F240" s="2" t="s">
        <v>42</v>
      </c>
      <c r="G240" s="2" t="s">
        <v>22</v>
      </c>
      <c r="H240" s="2" t="s">
        <v>74</v>
      </c>
      <c r="I240" s="2" t="s">
        <v>45</v>
      </c>
      <c r="J240" s="2" t="s">
        <v>52</v>
      </c>
      <c r="K240" s="2">
        <v>2</v>
      </c>
      <c r="L240" s="15">
        <v>18000</v>
      </c>
      <c r="M240" s="2">
        <v>0</v>
      </c>
      <c r="N240" s="15">
        <v>36000</v>
      </c>
      <c r="O240" s="15">
        <v>22000</v>
      </c>
      <c r="P240" s="15">
        <v>14000</v>
      </c>
      <c r="Q240" s="2" t="s">
        <v>64</v>
      </c>
      <c r="R240" s="2" t="s">
        <v>58</v>
      </c>
    </row>
    <row r="241" spans="1:18" x14ac:dyDescent="0.2">
      <c r="A241" s="2" t="s">
        <v>309</v>
      </c>
      <c r="B241" s="3">
        <v>46015</v>
      </c>
      <c r="C241" s="2" t="s">
        <v>40</v>
      </c>
      <c r="D241" s="2" t="s">
        <v>20</v>
      </c>
      <c r="E241" s="2">
        <v>39</v>
      </c>
      <c r="F241" s="2" t="s">
        <v>68</v>
      </c>
      <c r="G241" s="2" t="s">
        <v>22</v>
      </c>
      <c r="H241" s="2" t="s">
        <v>23</v>
      </c>
      <c r="I241" s="2" t="s">
        <v>45</v>
      </c>
      <c r="J241" s="2" t="s">
        <v>32</v>
      </c>
      <c r="K241" s="2">
        <v>3</v>
      </c>
      <c r="L241" s="15">
        <v>15000</v>
      </c>
      <c r="M241" s="2">
        <v>15</v>
      </c>
      <c r="N241" s="15">
        <v>38250</v>
      </c>
      <c r="O241" s="15">
        <v>27000</v>
      </c>
      <c r="P241" s="15">
        <v>11250</v>
      </c>
      <c r="Q241" s="2" t="s">
        <v>47</v>
      </c>
      <c r="R241" s="2" t="s">
        <v>58</v>
      </c>
    </row>
    <row r="242" spans="1:18" x14ac:dyDescent="0.2">
      <c r="A242" s="2" t="s">
        <v>310</v>
      </c>
      <c r="B242" s="3">
        <v>45880</v>
      </c>
      <c r="C242" s="2" t="s">
        <v>19</v>
      </c>
      <c r="D242" s="2" t="s">
        <v>41</v>
      </c>
      <c r="E242" s="2">
        <v>39</v>
      </c>
      <c r="F242" s="2" t="s">
        <v>30</v>
      </c>
      <c r="G242" s="2" t="s">
        <v>50</v>
      </c>
      <c r="H242" s="2" t="s">
        <v>51</v>
      </c>
      <c r="I242" s="2" t="s">
        <v>71</v>
      </c>
      <c r="J242" s="2" t="s">
        <v>25</v>
      </c>
      <c r="K242" s="2">
        <v>3</v>
      </c>
      <c r="L242" s="15">
        <v>16000</v>
      </c>
      <c r="M242" s="2">
        <v>15</v>
      </c>
      <c r="N242" s="15">
        <v>40800</v>
      </c>
      <c r="O242" s="15">
        <v>30000</v>
      </c>
      <c r="P242" s="15">
        <v>10800</v>
      </c>
      <c r="Q242" s="2" t="s">
        <v>64</v>
      </c>
      <c r="R242" s="2" t="s">
        <v>27</v>
      </c>
    </row>
    <row r="243" spans="1:18" x14ac:dyDescent="0.2">
      <c r="A243" s="2" t="s">
        <v>311</v>
      </c>
      <c r="B243" s="3">
        <v>45698</v>
      </c>
      <c r="C243" s="2" t="s">
        <v>86</v>
      </c>
      <c r="D243" s="2" t="s">
        <v>20</v>
      </c>
      <c r="E243" s="2">
        <v>55</v>
      </c>
      <c r="F243" s="2" t="s">
        <v>21</v>
      </c>
      <c r="G243" s="2" t="s">
        <v>36</v>
      </c>
      <c r="H243" s="2" t="s">
        <v>37</v>
      </c>
      <c r="I243" s="2" t="s">
        <v>45</v>
      </c>
      <c r="J243" s="2" t="s">
        <v>95</v>
      </c>
      <c r="K243" s="2">
        <v>2</v>
      </c>
      <c r="L243" s="15">
        <v>8000</v>
      </c>
      <c r="M243" s="2">
        <v>15</v>
      </c>
      <c r="N243" s="15">
        <v>13600</v>
      </c>
      <c r="O243" s="15">
        <v>9000</v>
      </c>
      <c r="P243" s="15">
        <v>4600</v>
      </c>
      <c r="Q243" s="2" t="s">
        <v>47</v>
      </c>
      <c r="R243" s="2" t="s">
        <v>27</v>
      </c>
    </row>
    <row r="244" spans="1:18" x14ac:dyDescent="0.2">
      <c r="A244" s="2" t="s">
        <v>312</v>
      </c>
      <c r="B244" s="3">
        <v>46005</v>
      </c>
      <c r="C244" s="2" t="s">
        <v>73</v>
      </c>
      <c r="D244" s="2" t="s">
        <v>20</v>
      </c>
      <c r="E244" s="2">
        <v>49</v>
      </c>
      <c r="F244" s="2" t="s">
        <v>68</v>
      </c>
      <c r="G244" s="2" t="s">
        <v>69</v>
      </c>
      <c r="H244" s="2" t="s">
        <v>70</v>
      </c>
      <c r="I244" s="2" t="s">
        <v>24</v>
      </c>
      <c r="J244" s="2" t="s">
        <v>25</v>
      </c>
      <c r="K244" s="2">
        <v>3</v>
      </c>
      <c r="L244" s="15">
        <v>22000</v>
      </c>
      <c r="M244" s="2">
        <v>10</v>
      </c>
      <c r="N244" s="15">
        <v>59400</v>
      </c>
      <c r="O244" s="15">
        <v>42000</v>
      </c>
      <c r="P244" s="15">
        <v>17400</v>
      </c>
      <c r="Q244" s="2" t="s">
        <v>64</v>
      </c>
      <c r="R244" s="2" t="s">
        <v>38</v>
      </c>
    </row>
    <row r="245" spans="1:18" x14ac:dyDescent="0.2">
      <c r="A245" s="2" t="s">
        <v>313</v>
      </c>
      <c r="B245" s="3">
        <v>45902</v>
      </c>
      <c r="C245" s="2" t="s">
        <v>40</v>
      </c>
      <c r="D245" s="2" t="s">
        <v>41</v>
      </c>
      <c r="E245" s="2">
        <v>25</v>
      </c>
      <c r="F245" s="2" t="s">
        <v>68</v>
      </c>
      <c r="G245" s="2" t="s">
        <v>50</v>
      </c>
      <c r="H245" s="2" t="s">
        <v>51</v>
      </c>
      <c r="I245" s="2" t="s">
        <v>71</v>
      </c>
      <c r="J245" s="2" t="s">
        <v>66</v>
      </c>
      <c r="K245" s="2">
        <v>3</v>
      </c>
      <c r="L245" s="15">
        <v>16000</v>
      </c>
      <c r="M245" s="2">
        <v>0</v>
      </c>
      <c r="N245" s="15">
        <v>48000</v>
      </c>
      <c r="O245" s="15">
        <v>30000</v>
      </c>
      <c r="P245" s="15">
        <v>18000</v>
      </c>
      <c r="Q245" s="2" t="s">
        <v>26</v>
      </c>
      <c r="R245" s="2" t="s">
        <v>33</v>
      </c>
    </row>
    <row r="246" spans="1:18" x14ac:dyDescent="0.2">
      <c r="A246" s="2" t="s">
        <v>314</v>
      </c>
      <c r="B246" s="3">
        <v>45956</v>
      </c>
      <c r="C246" s="2" t="s">
        <v>78</v>
      </c>
      <c r="D246" s="2" t="s">
        <v>20</v>
      </c>
      <c r="E246" s="2">
        <v>25</v>
      </c>
      <c r="F246" s="2" t="s">
        <v>49</v>
      </c>
      <c r="G246" s="2" t="s">
        <v>69</v>
      </c>
      <c r="H246" s="2" t="s">
        <v>70</v>
      </c>
      <c r="I246" s="2" t="s">
        <v>31</v>
      </c>
      <c r="J246" s="2" t="s">
        <v>25</v>
      </c>
      <c r="K246" s="2">
        <v>2</v>
      </c>
      <c r="L246" s="15">
        <v>22000</v>
      </c>
      <c r="M246" s="2">
        <v>15</v>
      </c>
      <c r="N246" s="15">
        <v>37400</v>
      </c>
      <c r="O246" s="15">
        <v>28000</v>
      </c>
      <c r="P246" s="15">
        <v>9400</v>
      </c>
      <c r="Q246" s="2" t="s">
        <v>26</v>
      </c>
      <c r="R246" s="2" t="s">
        <v>38</v>
      </c>
    </row>
    <row r="247" spans="1:18" x14ac:dyDescent="0.2">
      <c r="A247" s="2" t="s">
        <v>315</v>
      </c>
      <c r="B247" s="3">
        <v>45870</v>
      </c>
      <c r="C247" s="2" t="s">
        <v>29</v>
      </c>
      <c r="D247" s="2" t="s">
        <v>41</v>
      </c>
      <c r="E247" s="2">
        <v>41</v>
      </c>
      <c r="F247" s="2" t="s">
        <v>21</v>
      </c>
      <c r="G247" s="2" t="s">
        <v>69</v>
      </c>
      <c r="H247" s="2" t="s">
        <v>82</v>
      </c>
      <c r="I247" s="2" t="s">
        <v>71</v>
      </c>
      <c r="J247" s="2" t="s">
        <v>52</v>
      </c>
      <c r="K247" s="2">
        <v>1</v>
      </c>
      <c r="L247" s="15">
        <v>25000</v>
      </c>
      <c r="M247" s="2">
        <v>0</v>
      </c>
      <c r="N247" s="15">
        <v>25000</v>
      </c>
      <c r="O247" s="15">
        <v>17000</v>
      </c>
      <c r="P247" s="15">
        <v>8000</v>
      </c>
      <c r="Q247" s="2" t="s">
        <v>64</v>
      </c>
      <c r="R247" s="2" t="s">
        <v>58</v>
      </c>
    </row>
    <row r="248" spans="1:18" x14ac:dyDescent="0.2">
      <c r="A248" s="2" t="s">
        <v>316</v>
      </c>
      <c r="B248" s="3">
        <v>45813</v>
      </c>
      <c r="C248" s="2" t="s">
        <v>91</v>
      </c>
      <c r="D248" s="2" t="s">
        <v>41</v>
      </c>
      <c r="E248" s="2">
        <v>37</v>
      </c>
      <c r="F248" s="2" t="s">
        <v>21</v>
      </c>
      <c r="G248" s="2" t="s">
        <v>22</v>
      </c>
      <c r="H248" s="2" t="s">
        <v>23</v>
      </c>
      <c r="I248" s="2" t="s">
        <v>31</v>
      </c>
      <c r="J248" s="2" t="s">
        <v>95</v>
      </c>
      <c r="K248" s="2">
        <v>4</v>
      </c>
      <c r="L248" s="15">
        <v>15000</v>
      </c>
      <c r="M248" s="2">
        <v>10</v>
      </c>
      <c r="N248" s="15">
        <v>54000</v>
      </c>
      <c r="O248" s="15">
        <v>36000</v>
      </c>
      <c r="P248" s="15">
        <v>18000</v>
      </c>
      <c r="Q248" s="2" t="s">
        <v>64</v>
      </c>
      <c r="R248" s="2" t="s">
        <v>38</v>
      </c>
    </row>
    <row r="249" spans="1:18" x14ac:dyDescent="0.2">
      <c r="A249" s="2" t="s">
        <v>317</v>
      </c>
      <c r="B249" s="3">
        <v>45987</v>
      </c>
      <c r="C249" s="2" t="s">
        <v>35</v>
      </c>
      <c r="D249" s="2" t="s">
        <v>41</v>
      </c>
      <c r="E249" s="2">
        <v>38</v>
      </c>
      <c r="F249" s="2" t="s">
        <v>68</v>
      </c>
      <c r="G249" s="2" t="s">
        <v>50</v>
      </c>
      <c r="H249" s="2" t="s">
        <v>51</v>
      </c>
      <c r="I249" s="2" t="s">
        <v>24</v>
      </c>
      <c r="J249" s="2" t="s">
        <v>46</v>
      </c>
      <c r="K249" s="2">
        <v>3</v>
      </c>
      <c r="L249" s="15">
        <v>16000</v>
      </c>
      <c r="M249" s="2">
        <v>0</v>
      </c>
      <c r="N249" s="15">
        <v>48000</v>
      </c>
      <c r="O249" s="15">
        <v>30000</v>
      </c>
      <c r="P249" s="15">
        <v>18000</v>
      </c>
      <c r="Q249" s="2" t="s">
        <v>47</v>
      </c>
      <c r="R249" s="2" t="s">
        <v>27</v>
      </c>
    </row>
    <row r="250" spans="1:18" x14ac:dyDescent="0.2">
      <c r="A250" s="2" t="s">
        <v>318</v>
      </c>
      <c r="B250" s="3">
        <v>45659</v>
      </c>
      <c r="C250" s="2" t="s">
        <v>91</v>
      </c>
      <c r="D250" s="2" t="s">
        <v>20</v>
      </c>
      <c r="E250" s="2">
        <v>37</v>
      </c>
      <c r="F250" s="2" t="s">
        <v>42</v>
      </c>
      <c r="G250" s="2" t="s">
        <v>43</v>
      </c>
      <c r="H250" s="2" t="s">
        <v>44</v>
      </c>
      <c r="I250" s="2" t="s">
        <v>45</v>
      </c>
      <c r="J250" s="2" t="s">
        <v>66</v>
      </c>
      <c r="K250" s="2">
        <v>4</v>
      </c>
      <c r="L250" s="15">
        <v>20000</v>
      </c>
      <c r="M250" s="2">
        <v>10</v>
      </c>
      <c r="N250" s="15">
        <v>72000</v>
      </c>
      <c r="O250" s="15">
        <v>48000</v>
      </c>
      <c r="P250" s="15">
        <v>24000</v>
      </c>
      <c r="Q250" s="2" t="s">
        <v>47</v>
      </c>
      <c r="R250" s="2" t="s">
        <v>33</v>
      </c>
    </row>
    <row r="251" spans="1:18" x14ac:dyDescent="0.2">
      <c r="A251" s="2" t="s">
        <v>319</v>
      </c>
      <c r="B251" s="3">
        <v>45847</v>
      </c>
      <c r="C251" s="2" t="s">
        <v>73</v>
      </c>
      <c r="D251" s="2" t="s">
        <v>41</v>
      </c>
      <c r="E251" s="2">
        <v>24</v>
      </c>
      <c r="F251" s="2" t="s">
        <v>42</v>
      </c>
      <c r="G251" s="2" t="s">
        <v>50</v>
      </c>
      <c r="H251" s="2" t="s">
        <v>51</v>
      </c>
      <c r="I251" s="2" t="s">
        <v>71</v>
      </c>
      <c r="J251" s="2" t="s">
        <v>46</v>
      </c>
      <c r="K251" s="2">
        <v>3</v>
      </c>
      <c r="L251" s="15">
        <v>16000</v>
      </c>
      <c r="M251" s="2">
        <v>15</v>
      </c>
      <c r="N251" s="15">
        <v>40800</v>
      </c>
      <c r="O251" s="15">
        <v>30000</v>
      </c>
      <c r="P251" s="15">
        <v>10800</v>
      </c>
      <c r="Q251" s="2" t="s">
        <v>64</v>
      </c>
      <c r="R251" s="2" t="s">
        <v>58</v>
      </c>
    </row>
    <row r="252" spans="1:18" x14ac:dyDescent="0.2">
      <c r="A252" s="2" t="s">
        <v>320</v>
      </c>
      <c r="B252" s="3">
        <v>45752</v>
      </c>
      <c r="C252" s="2" t="s">
        <v>35</v>
      </c>
      <c r="D252" s="2" t="s">
        <v>20</v>
      </c>
      <c r="E252" s="2">
        <v>18</v>
      </c>
      <c r="F252" s="2" t="s">
        <v>49</v>
      </c>
      <c r="G252" s="2" t="s">
        <v>36</v>
      </c>
      <c r="H252" s="2" t="s">
        <v>76</v>
      </c>
      <c r="I252" s="2" t="s">
        <v>71</v>
      </c>
      <c r="J252" s="2" t="s">
        <v>46</v>
      </c>
      <c r="K252" s="2">
        <v>1</v>
      </c>
      <c r="L252" s="15">
        <v>10000</v>
      </c>
      <c r="M252" s="2">
        <v>0</v>
      </c>
      <c r="N252" s="15">
        <v>10000</v>
      </c>
      <c r="O252" s="15">
        <v>6000</v>
      </c>
      <c r="P252" s="15">
        <v>4000</v>
      </c>
      <c r="Q252" s="2" t="s">
        <v>64</v>
      </c>
      <c r="R252" s="2" t="s">
        <v>27</v>
      </c>
    </row>
    <row r="253" spans="1:18" x14ac:dyDescent="0.2">
      <c r="A253" s="2" t="s">
        <v>321</v>
      </c>
      <c r="B253" s="3">
        <v>45933</v>
      </c>
      <c r="C253" s="2" t="s">
        <v>29</v>
      </c>
      <c r="D253" s="2" t="s">
        <v>41</v>
      </c>
      <c r="E253" s="2">
        <v>53</v>
      </c>
      <c r="F253" s="2" t="s">
        <v>30</v>
      </c>
      <c r="G253" s="2" t="s">
        <v>50</v>
      </c>
      <c r="H253" s="2" t="s">
        <v>51</v>
      </c>
      <c r="I253" s="2" t="s">
        <v>31</v>
      </c>
      <c r="J253" s="2" t="s">
        <v>46</v>
      </c>
      <c r="K253" s="2">
        <v>2</v>
      </c>
      <c r="L253" s="15">
        <v>16000</v>
      </c>
      <c r="M253" s="2">
        <v>15</v>
      </c>
      <c r="N253" s="15">
        <v>27200</v>
      </c>
      <c r="O253" s="15">
        <v>20000</v>
      </c>
      <c r="P253" s="15">
        <v>7200</v>
      </c>
      <c r="Q253" s="2" t="s">
        <v>64</v>
      </c>
      <c r="R253" s="2" t="s">
        <v>58</v>
      </c>
    </row>
    <row r="254" spans="1:18" x14ac:dyDescent="0.2">
      <c r="A254" s="2" t="s">
        <v>322</v>
      </c>
      <c r="B254" s="3">
        <v>45908</v>
      </c>
      <c r="C254" s="2" t="s">
        <v>62</v>
      </c>
      <c r="D254" s="2" t="s">
        <v>41</v>
      </c>
      <c r="E254" s="2">
        <v>43</v>
      </c>
      <c r="F254" s="2" t="s">
        <v>21</v>
      </c>
      <c r="G254" s="2" t="s">
        <v>36</v>
      </c>
      <c r="H254" s="2" t="s">
        <v>76</v>
      </c>
      <c r="I254" s="2" t="s">
        <v>71</v>
      </c>
      <c r="J254" s="2" t="s">
        <v>95</v>
      </c>
      <c r="K254" s="2">
        <v>1</v>
      </c>
      <c r="L254" s="15">
        <v>10000</v>
      </c>
      <c r="M254" s="2">
        <v>15</v>
      </c>
      <c r="N254" s="15">
        <v>8500</v>
      </c>
      <c r="O254" s="15">
        <v>6000</v>
      </c>
      <c r="P254" s="15">
        <v>2500</v>
      </c>
      <c r="Q254" s="2" t="s">
        <v>26</v>
      </c>
      <c r="R254" s="2" t="s">
        <v>27</v>
      </c>
    </row>
    <row r="255" spans="1:18" x14ac:dyDescent="0.2">
      <c r="A255" s="2" t="s">
        <v>323</v>
      </c>
      <c r="B255" s="3">
        <v>45939</v>
      </c>
      <c r="C255" s="2" t="s">
        <v>19</v>
      </c>
      <c r="D255" s="2" t="s">
        <v>41</v>
      </c>
      <c r="E255" s="2">
        <v>45</v>
      </c>
      <c r="F255" s="2" t="s">
        <v>68</v>
      </c>
      <c r="G255" s="2" t="s">
        <v>22</v>
      </c>
      <c r="H255" s="2" t="s">
        <v>74</v>
      </c>
      <c r="I255" s="2" t="s">
        <v>24</v>
      </c>
      <c r="J255" s="2" t="s">
        <v>66</v>
      </c>
      <c r="K255" s="2">
        <v>4</v>
      </c>
      <c r="L255" s="15">
        <v>18000</v>
      </c>
      <c r="M255" s="2">
        <v>5</v>
      </c>
      <c r="N255" s="15">
        <v>68400</v>
      </c>
      <c r="O255" s="15">
        <v>44000</v>
      </c>
      <c r="P255" s="15">
        <v>24400</v>
      </c>
      <c r="Q255" s="2" t="s">
        <v>64</v>
      </c>
      <c r="R255" s="2" t="s">
        <v>27</v>
      </c>
    </row>
    <row r="256" spans="1:18" x14ac:dyDescent="0.2">
      <c r="A256" s="2" t="s">
        <v>324</v>
      </c>
      <c r="B256" s="3">
        <v>45747</v>
      </c>
      <c r="C256" s="2" t="s">
        <v>78</v>
      </c>
      <c r="D256" s="2" t="s">
        <v>20</v>
      </c>
      <c r="E256" s="2">
        <v>51</v>
      </c>
      <c r="F256" s="2" t="s">
        <v>42</v>
      </c>
      <c r="G256" s="2" t="s">
        <v>69</v>
      </c>
      <c r="H256" s="2" t="s">
        <v>82</v>
      </c>
      <c r="I256" s="2" t="s">
        <v>24</v>
      </c>
      <c r="J256" s="2" t="s">
        <v>32</v>
      </c>
      <c r="K256" s="2">
        <v>4</v>
      </c>
      <c r="L256" s="15">
        <v>25000</v>
      </c>
      <c r="M256" s="2">
        <v>0</v>
      </c>
      <c r="N256" s="15">
        <v>100000</v>
      </c>
      <c r="O256" s="15">
        <v>68000</v>
      </c>
      <c r="P256" s="15">
        <v>32000</v>
      </c>
      <c r="Q256" s="2" t="s">
        <v>47</v>
      </c>
      <c r="R256" s="2" t="s">
        <v>38</v>
      </c>
    </row>
    <row r="257" spans="1:18" x14ac:dyDescent="0.2">
      <c r="A257" s="2" t="s">
        <v>325</v>
      </c>
      <c r="B257" s="3">
        <v>45832</v>
      </c>
      <c r="C257" s="2" t="s">
        <v>56</v>
      </c>
      <c r="D257" s="2" t="s">
        <v>41</v>
      </c>
      <c r="E257" s="2">
        <v>39</v>
      </c>
      <c r="F257" s="2" t="s">
        <v>30</v>
      </c>
      <c r="G257" s="2" t="s">
        <v>50</v>
      </c>
      <c r="H257" s="2" t="s">
        <v>57</v>
      </c>
      <c r="I257" s="2" t="s">
        <v>71</v>
      </c>
      <c r="J257" s="2" t="s">
        <v>95</v>
      </c>
      <c r="K257" s="2">
        <v>3</v>
      </c>
      <c r="L257" s="15">
        <v>14000</v>
      </c>
      <c r="M257" s="2">
        <v>0</v>
      </c>
      <c r="N257" s="15">
        <v>42000</v>
      </c>
      <c r="O257" s="15">
        <v>25500</v>
      </c>
      <c r="P257" s="15">
        <v>16500</v>
      </c>
      <c r="Q257" s="2" t="s">
        <v>26</v>
      </c>
      <c r="R257" s="2" t="s">
        <v>27</v>
      </c>
    </row>
    <row r="258" spans="1:18" x14ac:dyDescent="0.2">
      <c r="A258" s="2" t="s">
        <v>326</v>
      </c>
      <c r="B258" s="3">
        <v>45920</v>
      </c>
      <c r="C258" s="2" t="s">
        <v>35</v>
      </c>
      <c r="D258" s="2" t="s">
        <v>41</v>
      </c>
      <c r="E258" s="2">
        <v>37</v>
      </c>
      <c r="F258" s="2" t="s">
        <v>21</v>
      </c>
      <c r="G258" s="2" t="s">
        <v>22</v>
      </c>
      <c r="H258" s="2" t="s">
        <v>23</v>
      </c>
      <c r="I258" s="2" t="s">
        <v>31</v>
      </c>
      <c r="J258" s="2" t="s">
        <v>25</v>
      </c>
      <c r="K258" s="2">
        <v>4</v>
      </c>
      <c r="L258" s="15">
        <v>15000</v>
      </c>
      <c r="M258" s="2">
        <v>15</v>
      </c>
      <c r="N258" s="15">
        <v>51000</v>
      </c>
      <c r="O258" s="15">
        <v>36000</v>
      </c>
      <c r="P258" s="15">
        <v>15000</v>
      </c>
      <c r="Q258" s="2" t="s">
        <v>64</v>
      </c>
      <c r="R258" s="2" t="s">
        <v>38</v>
      </c>
    </row>
    <row r="259" spans="1:18" x14ac:dyDescent="0.2">
      <c r="A259" s="2" t="s">
        <v>327</v>
      </c>
      <c r="B259" s="3">
        <v>46018</v>
      </c>
      <c r="C259" s="2" t="s">
        <v>73</v>
      </c>
      <c r="D259" s="2" t="s">
        <v>41</v>
      </c>
      <c r="E259" s="2">
        <v>44</v>
      </c>
      <c r="F259" s="2" t="s">
        <v>49</v>
      </c>
      <c r="G259" s="2" t="s">
        <v>22</v>
      </c>
      <c r="H259" s="2" t="s">
        <v>74</v>
      </c>
      <c r="I259" s="2" t="s">
        <v>24</v>
      </c>
      <c r="J259" s="2" t="s">
        <v>25</v>
      </c>
      <c r="K259" s="2">
        <v>2</v>
      </c>
      <c r="L259" s="15">
        <v>18000</v>
      </c>
      <c r="M259" s="2">
        <v>0</v>
      </c>
      <c r="N259" s="15">
        <v>36000</v>
      </c>
      <c r="O259" s="15">
        <v>22000</v>
      </c>
      <c r="P259" s="15">
        <v>14000</v>
      </c>
      <c r="Q259" s="2" t="s">
        <v>47</v>
      </c>
      <c r="R259" s="2" t="s">
        <v>27</v>
      </c>
    </row>
    <row r="260" spans="1:18" x14ac:dyDescent="0.2">
      <c r="A260" s="2" t="s">
        <v>328</v>
      </c>
      <c r="B260" s="3">
        <v>45897</v>
      </c>
      <c r="C260" s="2" t="s">
        <v>89</v>
      </c>
      <c r="D260" s="2" t="s">
        <v>41</v>
      </c>
      <c r="E260" s="2">
        <v>40</v>
      </c>
      <c r="F260" s="2" t="s">
        <v>21</v>
      </c>
      <c r="G260" s="2" t="s">
        <v>50</v>
      </c>
      <c r="H260" s="2" t="s">
        <v>57</v>
      </c>
      <c r="I260" s="2" t="s">
        <v>71</v>
      </c>
      <c r="J260" s="2" t="s">
        <v>32</v>
      </c>
      <c r="K260" s="2">
        <v>4</v>
      </c>
      <c r="L260" s="15">
        <v>14000</v>
      </c>
      <c r="M260" s="2">
        <v>5</v>
      </c>
      <c r="N260" s="15">
        <v>53200</v>
      </c>
      <c r="O260" s="15">
        <v>34000</v>
      </c>
      <c r="P260" s="15">
        <v>19200</v>
      </c>
      <c r="Q260" s="2" t="s">
        <v>26</v>
      </c>
      <c r="R260" s="2" t="s">
        <v>27</v>
      </c>
    </row>
    <row r="261" spans="1:18" x14ac:dyDescent="0.2">
      <c r="A261" s="2" t="s">
        <v>329</v>
      </c>
      <c r="B261" s="3">
        <v>45700</v>
      </c>
      <c r="C261" s="2" t="s">
        <v>73</v>
      </c>
      <c r="D261" s="2" t="s">
        <v>20</v>
      </c>
      <c r="E261" s="2">
        <v>32</v>
      </c>
      <c r="F261" s="2" t="s">
        <v>49</v>
      </c>
      <c r="G261" s="2" t="s">
        <v>69</v>
      </c>
      <c r="H261" s="2" t="s">
        <v>70</v>
      </c>
      <c r="I261" s="2" t="s">
        <v>71</v>
      </c>
      <c r="J261" s="2" t="s">
        <v>46</v>
      </c>
      <c r="K261" s="2">
        <v>3</v>
      </c>
      <c r="L261" s="15">
        <v>22000</v>
      </c>
      <c r="M261" s="2">
        <v>5</v>
      </c>
      <c r="N261" s="15">
        <v>62700</v>
      </c>
      <c r="O261" s="15">
        <v>42000</v>
      </c>
      <c r="P261" s="15">
        <v>20700</v>
      </c>
      <c r="Q261" s="2" t="s">
        <v>26</v>
      </c>
      <c r="R261" s="2" t="s">
        <v>38</v>
      </c>
    </row>
    <row r="262" spans="1:18" x14ac:dyDescent="0.2">
      <c r="A262" s="2" t="s">
        <v>330</v>
      </c>
      <c r="B262" s="3">
        <v>45915</v>
      </c>
      <c r="C262" s="2" t="s">
        <v>81</v>
      </c>
      <c r="D262" s="2" t="s">
        <v>41</v>
      </c>
      <c r="E262" s="2">
        <v>40</v>
      </c>
      <c r="F262" s="2" t="s">
        <v>21</v>
      </c>
      <c r="G262" s="2" t="s">
        <v>69</v>
      </c>
      <c r="H262" s="2" t="s">
        <v>70</v>
      </c>
      <c r="I262" s="2" t="s">
        <v>71</v>
      </c>
      <c r="J262" s="2" t="s">
        <v>25</v>
      </c>
      <c r="K262" s="2">
        <v>3</v>
      </c>
      <c r="L262" s="15">
        <v>22000</v>
      </c>
      <c r="M262" s="2">
        <v>0</v>
      </c>
      <c r="N262" s="15">
        <v>66000</v>
      </c>
      <c r="O262" s="15">
        <v>42000</v>
      </c>
      <c r="P262" s="15">
        <v>24000</v>
      </c>
      <c r="Q262" s="2" t="s">
        <v>47</v>
      </c>
      <c r="R262" s="2" t="s">
        <v>58</v>
      </c>
    </row>
    <row r="263" spans="1:18" x14ac:dyDescent="0.2">
      <c r="A263" s="2" t="s">
        <v>331</v>
      </c>
      <c r="B263" s="3">
        <v>45851</v>
      </c>
      <c r="C263" s="2" t="s">
        <v>40</v>
      </c>
      <c r="D263" s="2" t="s">
        <v>20</v>
      </c>
      <c r="E263" s="2">
        <v>31</v>
      </c>
      <c r="F263" s="2" t="s">
        <v>49</v>
      </c>
      <c r="G263" s="2" t="s">
        <v>43</v>
      </c>
      <c r="H263" s="2" t="s">
        <v>60</v>
      </c>
      <c r="I263" s="2" t="s">
        <v>45</v>
      </c>
      <c r="J263" s="2" t="s">
        <v>32</v>
      </c>
      <c r="K263" s="2">
        <v>3</v>
      </c>
      <c r="L263" s="15">
        <v>15000</v>
      </c>
      <c r="M263" s="2">
        <v>0</v>
      </c>
      <c r="N263" s="15">
        <v>45000</v>
      </c>
      <c r="O263" s="15">
        <v>27000</v>
      </c>
      <c r="P263" s="15">
        <v>18000</v>
      </c>
      <c r="Q263" s="2" t="s">
        <v>26</v>
      </c>
      <c r="R263" s="2" t="s">
        <v>38</v>
      </c>
    </row>
    <row r="264" spans="1:18" x14ac:dyDescent="0.2">
      <c r="A264" s="2" t="s">
        <v>332</v>
      </c>
      <c r="B264" s="3">
        <v>45869</v>
      </c>
      <c r="C264" s="2" t="s">
        <v>54</v>
      </c>
      <c r="D264" s="2" t="s">
        <v>41</v>
      </c>
      <c r="E264" s="2">
        <v>28</v>
      </c>
      <c r="F264" s="2" t="s">
        <v>49</v>
      </c>
      <c r="G264" s="2" t="s">
        <v>69</v>
      </c>
      <c r="H264" s="2" t="s">
        <v>70</v>
      </c>
      <c r="I264" s="2" t="s">
        <v>71</v>
      </c>
      <c r="J264" s="2" t="s">
        <v>32</v>
      </c>
      <c r="K264" s="2">
        <v>2</v>
      </c>
      <c r="L264" s="15">
        <v>22000</v>
      </c>
      <c r="M264" s="2">
        <v>0</v>
      </c>
      <c r="N264" s="15">
        <v>44000</v>
      </c>
      <c r="O264" s="15">
        <v>28000</v>
      </c>
      <c r="P264" s="15">
        <v>16000</v>
      </c>
      <c r="Q264" s="2" t="s">
        <v>26</v>
      </c>
      <c r="R264" s="2" t="s">
        <v>33</v>
      </c>
    </row>
    <row r="265" spans="1:18" x14ac:dyDescent="0.2">
      <c r="A265" s="2" t="s">
        <v>333</v>
      </c>
      <c r="B265" s="3">
        <v>45875</v>
      </c>
      <c r="C265" s="2" t="s">
        <v>35</v>
      </c>
      <c r="D265" s="2" t="s">
        <v>20</v>
      </c>
      <c r="E265" s="2">
        <v>49</v>
      </c>
      <c r="F265" s="2" t="s">
        <v>49</v>
      </c>
      <c r="G265" s="2" t="s">
        <v>69</v>
      </c>
      <c r="H265" s="2" t="s">
        <v>82</v>
      </c>
      <c r="I265" s="2" t="s">
        <v>45</v>
      </c>
      <c r="J265" s="2" t="s">
        <v>95</v>
      </c>
      <c r="K265" s="2">
        <v>2</v>
      </c>
      <c r="L265" s="15">
        <v>25000</v>
      </c>
      <c r="M265" s="2">
        <v>10</v>
      </c>
      <c r="N265" s="15">
        <v>45000</v>
      </c>
      <c r="O265" s="15">
        <v>34000</v>
      </c>
      <c r="P265" s="15">
        <v>11000</v>
      </c>
      <c r="Q265" s="2" t="s">
        <v>47</v>
      </c>
      <c r="R265" s="2" t="s">
        <v>38</v>
      </c>
    </row>
    <row r="266" spans="1:18" x14ac:dyDescent="0.2">
      <c r="A266" s="2" t="s">
        <v>334</v>
      </c>
      <c r="B266" s="3">
        <v>45706</v>
      </c>
      <c r="C266" s="2" t="s">
        <v>91</v>
      </c>
      <c r="D266" s="2" t="s">
        <v>20</v>
      </c>
      <c r="E266" s="2">
        <v>24</v>
      </c>
      <c r="F266" s="2" t="s">
        <v>30</v>
      </c>
      <c r="G266" s="2" t="s">
        <v>36</v>
      </c>
      <c r="H266" s="2" t="s">
        <v>37</v>
      </c>
      <c r="I266" s="2" t="s">
        <v>71</v>
      </c>
      <c r="J266" s="2" t="s">
        <v>95</v>
      </c>
      <c r="K266" s="2">
        <v>2</v>
      </c>
      <c r="L266" s="15">
        <v>8000</v>
      </c>
      <c r="M266" s="2">
        <v>5</v>
      </c>
      <c r="N266" s="15">
        <v>15200</v>
      </c>
      <c r="O266" s="15">
        <v>9000</v>
      </c>
      <c r="P266" s="15">
        <v>6200</v>
      </c>
      <c r="Q266" s="2" t="s">
        <v>64</v>
      </c>
      <c r="R266" s="2" t="s">
        <v>33</v>
      </c>
    </row>
    <row r="267" spans="1:18" x14ac:dyDescent="0.2">
      <c r="A267" s="2" t="s">
        <v>335</v>
      </c>
      <c r="B267" s="3">
        <v>45873</v>
      </c>
      <c r="C267" s="2" t="s">
        <v>62</v>
      </c>
      <c r="D267" s="2" t="s">
        <v>20</v>
      </c>
      <c r="E267" s="2">
        <v>21</v>
      </c>
      <c r="F267" s="2" t="s">
        <v>21</v>
      </c>
      <c r="G267" s="2" t="s">
        <v>36</v>
      </c>
      <c r="H267" s="2" t="s">
        <v>76</v>
      </c>
      <c r="I267" s="2" t="s">
        <v>31</v>
      </c>
      <c r="J267" s="2" t="s">
        <v>66</v>
      </c>
      <c r="K267" s="2">
        <v>2</v>
      </c>
      <c r="L267" s="15">
        <v>10000</v>
      </c>
      <c r="M267" s="2">
        <v>5</v>
      </c>
      <c r="N267" s="15">
        <v>19000</v>
      </c>
      <c r="O267" s="15">
        <v>12000</v>
      </c>
      <c r="P267" s="15">
        <v>7000</v>
      </c>
      <c r="Q267" s="2" t="s">
        <v>47</v>
      </c>
      <c r="R267" s="2" t="s">
        <v>58</v>
      </c>
    </row>
    <row r="268" spans="1:18" x14ac:dyDescent="0.2">
      <c r="A268" s="2" t="s">
        <v>336</v>
      </c>
      <c r="B268" s="3">
        <v>45804</v>
      </c>
      <c r="C268" s="2" t="s">
        <v>81</v>
      </c>
      <c r="D268" s="2" t="s">
        <v>20</v>
      </c>
      <c r="E268" s="2">
        <v>36</v>
      </c>
      <c r="F268" s="2" t="s">
        <v>49</v>
      </c>
      <c r="G268" s="2" t="s">
        <v>22</v>
      </c>
      <c r="H268" s="2" t="s">
        <v>74</v>
      </c>
      <c r="I268" s="2" t="s">
        <v>71</v>
      </c>
      <c r="J268" s="2" t="s">
        <v>52</v>
      </c>
      <c r="K268" s="2">
        <v>2</v>
      </c>
      <c r="L268" s="15">
        <v>18000</v>
      </c>
      <c r="M268" s="2">
        <v>5</v>
      </c>
      <c r="N268" s="15">
        <v>34200</v>
      </c>
      <c r="O268" s="15">
        <v>22000</v>
      </c>
      <c r="P268" s="15">
        <v>12200</v>
      </c>
      <c r="Q268" s="2" t="s">
        <v>47</v>
      </c>
      <c r="R268" s="2" t="s">
        <v>58</v>
      </c>
    </row>
    <row r="269" spans="1:18" x14ac:dyDescent="0.2">
      <c r="A269" s="2" t="s">
        <v>337</v>
      </c>
      <c r="B269" s="3">
        <v>45732</v>
      </c>
      <c r="C269" s="2" t="s">
        <v>62</v>
      </c>
      <c r="D269" s="2" t="s">
        <v>41</v>
      </c>
      <c r="E269" s="2">
        <v>52</v>
      </c>
      <c r="F269" s="2" t="s">
        <v>68</v>
      </c>
      <c r="G269" s="2" t="s">
        <v>22</v>
      </c>
      <c r="H269" s="2" t="s">
        <v>74</v>
      </c>
      <c r="I269" s="2" t="s">
        <v>31</v>
      </c>
      <c r="J269" s="2" t="s">
        <v>52</v>
      </c>
      <c r="K269" s="2">
        <v>2</v>
      </c>
      <c r="L269" s="15">
        <v>18000</v>
      </c>
      <c r="M269" s="2">
        <v>15</v>
      </c>
      <c r="N269" s="15">
        <v>30600</v>
      </c>
      <c r="O269" s="15">
        <v>22000</v>
      </c>
      <c r="P269" s="15">
        <v>8600</v>
      </c>
      <c r="Q269" s="2" t="s">
        <v>26</v>
      </c>
      <c r="R269" s="2" t="s">
        <v>33</v>
      </c>
    </row>
    <row r="270" spans="1:18" x14ac:dyDescent="0.2">
      <c r="A270" s="2" t="s">
        <v>338</v>
      </c>
      <c r="B270" s="3">
        <v>45787</v>
      </c>
      <c r="C270" s="2" t="s">
        <v>54</v>
      </c>
      <c r="D270" s="2" t="s">
        <v>20</v>
      </c>
      <c r="E270" s="2">
        <v>52</v>
      </c>
      <c r="F270" s="2" t="s">
        <v>49</v>
      </c>
      <c r="G270" s="2" t="s">
        <v>50</v>
      </c>
      <c r="H270" s="2" t="s">
        <v>51</v>
      </c>
      <c r="I270" s="2" t="s">
        <v>71</v>
      </c>
      <c r="J270" s="2" t="s">
        <v>52</v>
      </c>
      <c r="K270" s="2">
        <v>2</v>
      </c>
      <c r="L270" s="15">
        <v>16000</v>
      </c>
      <c r="M270" s="2">
        <v>15</v>
      </c>
      <c r="N270" s="15">
        <v>27200</v>
      </c>
      <c r="O270" s="15">
        <v>20000</v>
      </c>
      <c r="P270" s="15">
        <v>7200</v>
      </c>
      <c r="Q270" s="2" t="s">
        <v>47</v>
      </c>
      <c r="R270" s="2" t="s">
        <v>38</v>
      </c>
    </row>
    <row r="271" spans="1:18" x14ac:dyDescent="0.2">
      <c r="A271" s="2" t="s">
        <v>339</v>
      </c>
      <c r="B271" s="3">
        <v>46003</v>
      </c>
      <c r="C271" s="2" t="s">
        <v>81</v>
      </c>
      <c r="D271" s="2" t="s">
        <v>20</v>
      </c>
      <c r="E271" s="2">
        <v>20</v>
      </c>
      <c r="F271" s="2" t="s">
        <v>68</v>
      </c>
      <c r="G271" s="2" t="s">
        <v>22</v>
      </c>
      <c r="H271" s="2" t="s">
        <v>23</v>
      </c>
      <c r="I271" s="2" t="s">
        <v>24</v>
      </c>
      <c r="J271" s="2" t="s">
        <v>95</v>
      </c>
      <c r="K271" s="2">
        <v>2</v>
      </c>
      <c r="L271" s="15">
        <v>15000</v>
      </c>
      <c r="M271" s="2">
        <v>15</v>
      </c>
      <c r="N271" s="15">
        <v>25500</v>
      </c>
      <c r="O271" s="15">
        <v>18000</v>
      </c>
      <c r="P271" s="15">
        <v>7500</v>
      </c>
      <c r="Q271" s="2" t="s">
        <v>64</v>
      </c>
      <c r="R271" s="2" t="s">
        <v>38</v>
      </c>
    </row>
    <row r="272" spans="1:18" x14ac:dyDescent="0.2">
      <c r="A272" s="2" t="s">
        <v>340</v>
      </c>
      <c r="B272" s="3">
        <v>45674</v>
      </c>
      <c r="C272" s="2" t="s">
        <v>78</v>
      </c>
      <c r="D272" s="2" t="s">
        <v>41</v>
      </c>
      <c r="E272" s="2">
        <v>25</v>
      </c>
      <c r="F272" s="2" t="s">
        <v>21</v>
      </c>
      <c r="G272" s="2" t="s">
        <v>22</v>
      </c>
      <c r="H272" s="2" t="s">
        <v>23</v>
      </c>
      <c r="I272" s="2" t="s">
        <v>31</v>
      </c>
      <c r="J272" s="2" t="s">
        <v>32</v>
      </c>
      <c r="K272" s="2">
        <v>4</v>
      </c>
      <c r="L272" s="15">
        <v>15000</v>
      </c>
      <c r="M272" s="2">
        <v>5</v>
      </c>
      <c r="N272" s="15">
        <v>57000</v>
      </c>
      <c r="O272" s="15">
        <v>36000</v>
      </c>
      <c r="P272" s="15">
        <v>21000</v>
      </c>
      <c r="Q272" s="2" t="s">
        <v>64</v>
      </c>
      <c r="R272" s="2" t="s">
        <v>33</v>
      </c>
    </row>
    <row r="273" spans="1:18" x14ac:dyDescent="0.2">
      <c r="A273" s="2" t="s">
        <v>341</v>
      </c>
      <c r="B273" s="3">
        <v>45937</v>
      </c>
      <c r="C273" s="2" t="s">
        <v>56</v>
      </c>
      <c r="D273" s="2" t="s">
        <v>20</v>
      </c>
      <c r="E273" s="2">
        <v>31</v>
      </c>
      <c r="F273" s="2" t="s">
        <v>68</v>
      </c>
      <c r="G273" s="2" t="s">
        <v>36</v>
      </c>
      <c r="H273" s="2" t="s">
        <v>37</v>
      </c>
      <c r="I273" s="2" t="s">
        <v>24</v>
      </c>
      <c r="J273" s="2" t="s">
        <v>95</v>
      </c>
      <c r="K273" s="2">
        <v>3</v>
      </c>
      <c r="L273" s="15">
        <v>8000</v>
      </c>
      <c r="M273" s="2">
        <v>15</v>
      </c>
      <c r="N273" s="15">
        <v>20400</v>
      </c>
      <c r="O273" s="15">
        <v>13500</v>
      </c>
      <c r="P273" s="15">
        <v>6900</v>
      </c>
      <c r="Q273" s="2" t="s">
        <v>47</v>
      </c>
      <c r="R273" s="2" t="s">
        <v>27</v>
      </c>
    </row>
    <row r="274" spans="1:18" x14ac:dyDescent="0.2">
      <c r="A274" s="2" t="s">
        <v>342</v>
      </c>
      <c r="B274" s="3">
        <v>45683</v>
      </c>
      <c r="C274" s="2" t="s">
        <v>73</v>
      </c>
      <c r="D274" s="2" t="s">
        <v>41</v>
      </c>
      <c r="E274" s="2">
        <v>19</v>
      </c>
      <c r="F274" s="2" t="s">
        <v>68</v>
      </c>
      <c r="G274" s="2" t="s">
        <v>22</v>
      </c>
      <c r="H274" s="2" t="s">
        <v>74</v>
      </c>
      <c r="I274" s="2" t="s">
        <v>24</v>
      </c>
      <c r="J274" s="2" t="s">
        <v>52</v>
      </c>
      <c r="K274" s="2">
        <v>3</v>
      </c>
      <c r="L274" s="15">
        <v>18000</v>
      </c>
      <c r="M274" s="2">
        <v>5</v>
      </c>
      <c r="N274" s="15">
        <v>51300</v>
      </c>
      <c r="O274" s="15">
        <v>33000</v>
      </c>
      <c r="P274" s="15">
        <v>18300</v>
      </c>
      <c r="Q274" s="2" t="s">
        <v>64</v>
      </c>
      <c r="R274" s="2" t="s">
        <v>38</v>
      </c>
    </row>
    <row r="275" spans="1:18" x14ac:dyDescent="0.2">
      <c r="A275" s="2" t="s">
        <v>343</v>
      </c>
      <c r="B275" s="3">
        <v>45785</v>
      </c>
      <c r="C275" s="2" t="s">
        <v>35</v>
      </c>
      <c r="D275" s="2" t="s">
        <v>20</v>
      </c>
      <c r="E275" s="2">
        <v>25</v>
      </c>
      <c r="F275" s="2" t="s">
        <v>42</v>
      </c>
      <c r="G275" s="2" t="s">
        <v>43</v>
      </c>
      <c r="H275" s="2" t="s">
        <v>60</v>
      </c>
      <c r="I275" s="2" t="s">
        <v>31</v>
      </c>
      <c r="J275" s="2" t="s">
        <v>25</v>
      </c>
      <c r="K275" s="2">
        <v>1</v>
      </c>
      <c r="L275" s="15">
        <v>15000</v>
      </c>
      <c r="M275" s="2">
        <v>0</v>
      </c>
      <c r="N275" s="15">
        <v>15000</v>
      </c>
      <c r="O275" s="15">
        <v>9000</v>
      </c>
      <c r="P275" s="15">
        <v>6000</v>
      </c>
      <c r="Q275" s="2" t="s">
        <v>26</v>
      </c>
      <c r="R275" s="2" t="s">
        <v>33</v>
      </c>
    </row>
    <row r="276" spans="1:18" x14ac:dyDescent="0.2">
      <c r="A276" s="2" t="s">
        <v>344</v>
      </c>
      <c r="B276" s="3">
        <v>46002</v>
      </c>
      <c r="C276" s="2" t="s">
        <v>19</v>
      </c>
      <c r="D276" s="2" t="s">
        <v>41</v>
      </c>
      <c r="E276" s="2">
        <v>39</v>
      </c>
      <c r="F276" s="2" t="s">
        <v>68</v>
      </c>
      <c r="G276" s="2" t="s">
        <v>36</v>
      </c>
      <c r="H276" s="2" t="s">
        <v>37</v>
      </c>
      <c r="I276" s="2" t="s">
        <v>45</v>
      </c>
      <c r="J276" s="2" t="s">
        <v>25</v>
      </c>
      <c r="K276" s="2">
        <v>3</v>
      </c>
      <c r="L276" s="15">
        <v>8000</v>
      </c>
      <c r="M276" s="2">
        <v>10</v>
      </c>
      <c r="N276" s="15">
        <v>21600</v>
      </c>
      <c r="O276" s="15">
        <v>13500</v>
      </c>
      <c r="P276" s="15">
        <v>8100</v>
      </c>
      <c r="Q276" s="2" t="s">
        <v>47</v>
      </c>
      <c r="R276" s="2" t="s">
        <v>33</v>
      </c>
    </row>
    <row r="277" spans="1:18" x14ac:dyDescent="0.2">
      <c r="A277" s="2" t="s">
        <v>345</v>
      </c>
      <c r="B277" s="3">
        <v>45950</v>
      </c>
      <c r="C277" s="2" t="s">
        <v>91</v>
      </c>
      <c r="D277" s="2" t="s">
        <v>20</v>
      </c>
      <c r="E277" s="2">
        <v>27</v>
      </c>
      <c r="F277" s="2" t="s">
        <v>30</v>
      </c>
      <c r="G277" s="2" t="s">
        <v>50</v>
      </c>
      <c r="H277" s="2" t="s">
        <v>51</v>
      </c>
      <c r="I277" s="2" t="s">
        <v>71</v>
      </c>
      <c r="J277" s="2" t="s">
        <v>52</v>
      </c>
      <c r="K277" s="2">
        <v>1</v>
      </c>
      <c r="L277" s="15">
        <v>16000</v>
      </c>
      <c r="M277" s="2">
        <v>10</v>
      </c>
      <c r="N277" s="15">
        <v>14400</v>
      </c>
      <c r="O277" s="15">
        <v>10000</v>
      </c>
      <c r="P277" s="15">
        <v>4400</v>
      </c>
      <c r="Q277" s="2" t="s">
        <v>26</v>
      </c>
      <c r="R277" s="2" t="s">
        <v>27</v>
      </c>
    </row>
    <row r="278" spans="1:18" x14ac:dyDescent="0.2">
      <c r="A278" s="2" t="s">
        <v>346</v>
      </c>
      <c r="B278" s="3">
        <v>45955</v>
      </c>
      <c r="C278" s="2" t="s">
        <v>81</v>
      </c>
      <c r="D278" s="2" t="s">
        <v>41</v>
      </c>
      <c r="E278" s="2">
        <v>50</v>
      </c>
      <c r="F278" s="2" t="s">
        <v>42</v>
      </c>
      <c r="G278" s="2" t="s">
        <v>50</v>
      </c>
      <c r="H278" s="2" t="s">
        <v>57</v>
      </c>
      <c r="I278" s="2" t="s">
        <v>45</v>
      </c>
      <c r="J278" s="2" t="s">
        <v>32</v>
      </c>
      <c r="K278" s="2">
        <v>2</v>
      </c>
      <c r="L278" s="15">
        <v>14000</v>
      </c>
      <c r="M278" s="2">
        <v>0</v>
      </c>
      <c r="N278" s="15">
        <v>28000</v>
      </c>
      <c r="O278" s="15">
        <v>17000</v>
      </c>
      <c r="P278" s="15">
        <v>11000</v>
      </c>
      <c r="Q278" s="2" t="s">
        <v>47</v>
      </c>
      <c r="R278" s="2" t="s">
        <v>33</v>
      </c>
    </row>
    <row r="279" spans="1:18" x14ac:dyDescent="0.2">
      <c r="A279" s="2" t="s">
        <v>347</v>
      </c>
      <c r="B279" s="3">
        <v>46004</v>
      </c>
      <c r="C279" s="2" t="s">
        <v>81</v>
      </c>
      <c r="D279" s="2" t="s">
        <v>20</v>
      </c>
      <c r="E279" s="2">
        <v>32</v>
      </c>
      <c r="F279" s="2" t="s">
        <v>49</v>
      </c>
      <c r="G279" s="2" t="s">
        <v>43</v>
      </c>
      <c r="H279" s="2" t="s">
        <v>44</v>
      </c>
      <c r="I279" s="2" t="s">
        <v>24</v>
      </c>
      <c r="J279" s="2" t="s">
        <v>46</v>
      </c>
      <c r="K279" s="2">
        <v>4</v>
      </c>
      <c r="L279" s="15">
        <v>20000</v>
      </c>
      <c r="M279" s="2">
        <v>15</v>
      </c>
      <c r="N279" s="15">
        <v>68000</v>
      </c>
      <c r="O279" s="15">
        <v>48000</v>
      </c>
      <c r="P279" s="15">
        <v>20000</v>
      </c>
      <c r="Q279" s="2" t="s">
        <v>47</v>
      </c>
      <c r="R279" s="2" t="s">
        <v>58</v>
      </c>
    </row>
    <row r="280" spans="1:18" x14ac:dyDescent="0.2">
      <c r="A280" s="2" t="s">
        <v>348</v>
      </c>
      <c r="B280" s="3">
        <v>45764</v>
      </c>
      <c r="C280" s="2" t="s">
        <v>54</v>
      </c>
      <c r="D280" s="2" t="s">
        <v>41</v>
      </c>
      <c r="E280" s="2">
        <v>55</v>
      </c>
      <c r="F280" s="2" t="s">
        <v>68</v>
      </c>
      <c r="G280" s="2" t="s">
        <v>22</v>
      </c>
      <c r="H280" s="2" t="s">
        <v>23</v>
      </c>
      <c r="I280" s="2" t="s">
        <v>24</v>
      </c>
      <c r="J280" s="2" t="s">
        <v>52</v>
      </c>
      <c r="K280" s="2">
        <v>2</v>
      </c>
      <c r="L280" s="15">
        <v>15000</v>
      </c>
      <c r="M280" s="2">
        <v>5</v>
      </c>
      <c r="N280" s="15">
        <v>28500</v>
      </c>
      <c r="O280" s="15">
        <v>18000</v>
      </c>
      <c r="P280" s="15">
        <v>10500</v>
      </c>
      <c r="Q280" s="2" t="s">
        <v>64</v>
      </c>
      <c r="R280" s="2" t="s">
        <v>38</v>
      </c>
    </row>
    <row r="281" spans="1:18" x14ac:dyDescent="0.2">
      <c r="A281" s="2" t="s">
        <v>349</v>
      </c>
      <c r="B281" s="3">
        <v>45767</v>
      </c>
      <c r="C281" s="2" t="s">
        <v>35</v>
      </c>
      <c r="D281" s="2" t="s">
        <v>20</v>
      </c>
      <c r="E281" s="2">
        <v>22</v>
      </c>
      <c r="F281" s="2" t="s">
        <v>21</v>
      </c>
      <c r="G281" s="2" t="s">
        <v>50</v>
      </c>
      <c r="H281" s="2" t="s">
        <v>57</v>
      </c>
      <c r="I281" s="2" t="s">
        <v>24</v>
      </c>
      <c r="J281" s="2" t="s">
        <v>95</v>
      </c>
      <c r="K281" s="2">
        <v>1</v>
      </c>
      <c r="L281" s="15">
        <v>14000</v>
      </c>
      <c r="M281" s="2">
        <v>0</v>
      </c>
      <c r="N281" s="15">
        <v>14000</v>
      </c>
      <c r="O281" s="15">
        <v>8500</v>
      </c>
      <c r="P281" s="15">
        <v>5500</v>
      </c>
      <c r="Q281" s="2" t="s">
        <v>26</v>
      </c>
      <c r="R281" s="2" t="s">
        <v>58</v>
      </c>
    </row>
    <row r="282" spans="1:18" x14ac:dyDescent="0.2">
      <c r="A282" s="2" t="s">
        <v>350</v>
      </c>
      <c r="B282" s="3">
        <v>45986</v>
      </c>
      <c r="C282" s="2" t="s">
        <v>29</v>
      </c>
      <c r="D282" s="2" t="s">
        <v>41</v>
      </c>
      <c r="E282" s="2">
        <v>38</v>
      </c>
      <c r="F282" s="2" t="s">
        <v>21</v>
      </c>
      <c r="G282" s="2" t="s">
        <v>43</v>
      </c>
      <c r="H282" s="2" t="s">
        <v>60</v>
      </c>
      <c r="I282" s="2" t="s">
        <v>24</v>
      </c>
      <c r="J282" s="2" t="s">
        <v>95</v>
      </c>
      <c r="K282" s="2">
        <v>1</v>
      </c>
      <c r="L282" s="15">
        <v>15000</v>
      </c>
      <c r="M282" s="2">
        <v>10</v>
      </c>
      <c r="N282" s="15">
        <v>13500</v>
      </c>
      <c r="O282" s="15">
        <v>9000</v>
      </c>
      <c r="P282" s="15">
        <v>4500</v>
      </c>
      <c r="Q282" s="2" t="s">
        <v>64</v>
      </c>
      <c r="R282" s="2" t="s">
        <v>58</v>
      </c>
    </row>
    <row r="283" spans="1:18" x14ac:dyDescent="0.2">
      <c r="A283" s="2" t="s">
        <v>351</v>
      </c>
      <c r="B283" s="3">
        <v>45820</v>
      </c>
      <c r="C283" s="2" t="s">
        <v>56</v>
      </c>
      <c r="D283" s="2" t="s">
        <v>41</v>
      </c>
      <c r="E283" s="2">
        <v>32</v>
      </c>
      <c r="F283" s="2" t="s">
        <v>21</v>
      </c>
      <c r="G283" s="2" t="s">
        <v>22</v>
      </c>
      <c r="H283" s="2" t="s">
        <v>74</v>
      </c>
      <c r="I283" s="2" t="s">
        <v>45</v>
      </c>
      <c r="J283" s="2" t="s">
        <v>46</v>
      </c>
      <c r="K283" s="2">
        <v>1</v>
      </c>
      <c r="L283" s="15">
        <v>18000</v>
      </c>
      <c r="M283" s="2">
        <v>5</v>
      </c>
      <c r="N283" s="15">
        <v>17100</v>
      </c>
      <c r="O283" s="15">
        <v>11000</v>
      </c>
      <c r="P283" s="15">
        <v>6100</v>
      </c>
      <c r="Q283" s="2" t="s">
        <v>47</v>
      </c>
      <c r="R283" s="2" t="s">
        <v>33</v>
      </c>
    </row>
    <row r="284" spans="1:18" x14ac:dyDescent="0.2">
      <c r="A284" s="2" t="s">
        <v>352</v>
      </c>
      <c r="B284" s="3">
        <v>45852</v>
      </c>
      <c r="C284" s="2" t="s">
        <v>89</v>
      </c>
      <c r="D284" s="2" t="s">
        <v>41</v>
      </c>
      <c r="E284" s="2">
        <v>30</v>
      </c>
      <c r="F284" s="2" t="s">
        <v>21</v>
      </c>
      <c r="G284" s="2" t="s">
        <v>43</v>
      </c>
      <c r="H284" s="2" t="s">
        <v>44</v>
      </c>
      <c r="I284" s="2" t="s">
        <v>31</v>
      </c>
      <c r="J284" s="2" t="s">
        <v>25</v>
      </c>
      <c r="K284" s="2">
        <v>4</v>
      </c>
      <c r="L284" s="15">
        <v>20000</v>
      </c>
      <c r="M284" s="2">
        <v>5</v>
      </c>
      <c r="N284" s="15">
        <v>76000</v>
      </c>
      <c r="O284" s="15">
        <v>48000</v>
      </c>
      <c r="P284" s="15">
        <v>28000</v>
      </c>
      <c r="Q284" s="2" t="s">
        <v>26</v>
      </c>
      <c r="R284" s="2" t="s">
        <v>27</v>
      </c>
    </row>
    <row r="285" spans="1:18" x14ac:dyDescent="0.2">
      <c r="A285" s="2" t="s">
        <v>353</v>
      </c>
      <c r="B285" s="3">
        <v>46004</v>
      </c>
      <c r="C285" s="2" t="s">
        <v>78</v>
      </c>
      <c r="D285" s="2" t="s">
        <v>20</v>
      </c>
      <c r="E285" s="2">
        <v>51</v>
      </c>
      <c r="F285" s="2" t="s">
        <v>21</v>
      </c>
      <c r="G285" s="2" t="s">
        <v>36</v>
      </c>
      <c r="H285" s="2" t="s">
        <v>76</v>
      </c>
      <c r="I285" s="2" t="s">
        <v>24</v>
      </c>
      <c r="J285" s="2" t="s">
        <v>95</v>
      </c>
      <c r="K285" s="2">
        <v>4</v>
      </c>
      <c r="L285" s="15">
        <v>10000</v>
      </c>
      <c r="M285" s="2">
        <v>5</v>
      </c>
      <c r="N285" s="15">
        <v>38000</v>
      </c>
      <c r="O285" s="15">
        <v>24000</v>
      </c>
      <c r="P285" s="15">
        <v>14000</v>
      </c>
      <c r="Q285" s="2" t="s">
        <v>64</v>
      </c>
      <c r="R285" s="2" t="s">
        <v>27</v>
      </c>
    </row>
    <row r="286" spans="1:18" x14ac:dyDescent="0.2">
      <c r="A286" s="2" t="s">
        <v>354</v>
      </c>
      <c r="B286" s="3">
        <v>45772</v>
      </c>
      <c r="C286" s="2" t="s">
        <v>73</v>
      </c>
      <c r="D286" s="2" t="s">
        <v>41</v>
      </c>
      <c r="E286" s="2">
        <v>26</v>
      </c>
      <c r="F286" s="2" t="s">
        <v>42</v>
      </c>
      <c r="G286" s="2" t="s">
        <v>50</v>
      </c>
      <c r="H286" s="2" t="s">
        <v>51</v>
      </c>
      <c r="I286" s="2" t="s">
        <v>71</v>
      </c>
      <c r="J286" s="2" t="s">
        <v>25</v>
      </c>
      <c r="K286" s="2">
        <v>1</v>
      </c>
      <c r="L286" s="15">
        <v>16000</v>
      </c>
      <c r="M286" s="2">
        <v>10</v>
      </c>
      <c r="N286" s="15">
        <v>14400</v>
      </c>
      <c r="O286" s="15">
        <v>10000</v>
      </c>
      <c r="P286" s="15">
        <v>4400</v>
      </c>
      <c r="Q286" s="2" t="s">
        <v>26</v>
      </c>
      <c r="R286" s="2" t="s">
        <v>58</v>
      </c>
    </row>
    <row r="287" spans="1:18" x14ac:dyDescent="0.2">
      <c r="A287" s="2" t="s">
        <v>355</v>
      </c>
      <c r="B287" s="3">
        <v>46003</v>
      </c>
      <c r="C287" s="2" t="s">
        <v>62</v>
      </c>
      <c r="D287" s="2" t="s">
        <v>41</v>
      </c>
      <c r="E287" s="2">
        <v>25</v>
      </c>
      <c r="F287" s="2" t="s">
        <v>42</v>
      </c>
      <c r="G287" s="2" t="s">
        <v>22</v>
      </c>
      <c r="H287" s="2" t="s">
        <v>74</v>
      </c>
      <c r="I287" s="2" t="s">
        <v>24</v>
      </c>
      <c r="J287" s="2" t="s">
        <v>95</v>
      </c>
      <c r="K287" s="2">
        <v>3</v>
      </c>
      <c r="L287" s="15">
        <v>18000</v>
      </c>
      <c r="M287" s="2">
        <v>0</v>
      </c>
      <c r="N287" s="15">
        <v>54000</v>
      </c>
      <c r="O287" s="15">
        <v>33000</v>
      </c>
      <c r="P287" s="15">
        <v>21000</v>
      </c>
      <c r="Q287" s="2" t="s">
        <v>64</v>
      </c>
      <c r="R287" s="2" t="s">
        <v>38</v>
      </c>
    </row>
    <row r="288" spans="1:18" x14ac:dyDescent="0.2">
      <c r="A288" s="2" t="s">
        <v>356</v>
      </c>
      <c r="B288" s="3">
        <v>45801</v>
      </c>
      <c r="C288" s="2" t="s">
        <v>89</v>
      </c>
      <c r="D288" s="2" t="s">
        <v>20</v>
      </c>
      <c r="E288" s="2">
        <v>30</v>
      </c>
      <c r="F288" s="2" t="s">
        <v>30</v>
      </c>
      <c r="G288" s="2" t="s">
        <v>43</v>
      </c>
      <c r="H288" s="2" t="s">
        <v>60</v>
      </c>
      <c r="I288" s="2" t="s">
        <v>24</v>
      </c>
      <c r="J288" s="2" t="s">
        <v>66</v>
      </c>
      <c r="K288" s="2">
        <v>1</v>
      </c>
      <c r="L288" s="15">
        <v>15000</v>
      </c>
      <c r="M288" s="2">
        <v>10</v>
      </c>
      <c r="N288" s="15">
        <v>13500</v>
      </c>
      <c r="O288" s="15">
        <v>9000</v>
      </c>
      <c r="P288" s="15">
        <v>4500</v>
      </c>
      <c r="Q288" s="2" t="s">
        <v>64</v>
      </c>
      <c r="R288" s="2" t="s">
        <v>38</v>
      </c>
    </row>
    <row r="289" spans="1:18" x14ac:dyDescent="0.2">
      <c r="A289" s="2" t="s">
        <v>357</v>
      </c>
      <c r="B289" s="3">
        <v>45831</v>
      </c>
      <c r="C289" s="2" t="s">
        <v>19</v>
      </c>
      <c r="D289" s="2" t="s">
        <v>41</v>
      </c>
      <c r="E289" s="2">
        <v>53</v>
      </c>
      <c r="F289" s="2" t="s">
        <v>21</v>
      </c>
      <c r="G289" s="2" t="s">
        <v>50</v>
      </c>
      <c r="H289" s="2" t="s">
        <v>51</v>
      </c>
      <c r="I289" s="2" t="s">
        <v>31</v>
      </c>
      <c r="J289" s="2" t="s">
        <v>25</v>
      </c>
      <c r="K289" s="2">
        <v>3</v>
      </c>
      <c r="L289" s="15">
        <v>16000</v>
      </c>
      <c r="M289" s="2">
        <v>10</v>
      </c>
      <c r="N289" s="15">
        <v>43200</v>
      </c>
      <c r="O289" s="15">
        <v>30000</v>
      </c>
      <c r="P289" s="15">
        <v>13200</v>
      </c>
      <c r="Q289" s="2" t="s">
        <v>64</v>
      </c>
      <c r="R289" s="2" t="s">
        <v>27</v>
      </c>
    </row>
    <row r="290" spans="1:18" x14ac:dyDescent="0.2">
      <c r="A290" s="2" t="s">
        <v>358</v>
      </c>
      <c r="B290" s="3">
        <v>46013</v>
      </c>
      <c r="C290" s="2" t="s">
        <v>86</v>
      </c>
      <c r="D290" s="2" t="s">
        <v>20</v>
      </c>
      <c r="E290" s="2">
        <v>55</v>
      </c>
      <c r="F290" s="2" t="s">
        <v>68</v>
      </c>
      <c r="G290" s="2" t="s">
        <v>22</v>
      </c>
      <c r="H290" s="2" t="s">
        <v>74</v>
      </c>
      <c r="I290" s="2" t="s">
        <v>24</v>
      </c>
      <c r="J290" s="2" t="s">
        <v>46</v>
      </c>
      <c r="K290" s="2">
        <v>3</v>
      </c>
      <c r="L290" s="15">
        <v>18000</v>
      </c>
      <c r="M290" s="2">
        <v>0</v>
      </c>
      <c r="N290" s="15">
        <v>54000</v>
      </c>
      <c r="O290" s="15">
        <v>33000</v>
      </c>
      <c r="P290" s="15">
        <v>21000</v>
      </c>
      <c r="Q290" s="2" t="s">
        <v>26</v>
      </c>
      <c r="R290" s="2" t="s">
        <v>58</v>
      </c>
    </row>
    <row r="291" spans="1:18" x14ac:dyDescent="0.2">
      <c r="A291" s="2" t="s">
        <v>359</v>
      </c>
      <c r="B291" s="3">
        <v>45661</v>
      </c>
      <c r="C291" s="2" t="s">
        <v>54</v>
      </c>
      <c r="D291" s="2" t="s">
        <v>20</v>
      </c>
      <c r="E291" s="2">
        <v>21</v>
      </c>
      <c r="F291" s="2" t="s">
        <v>68</v>
      </c>
      <c r="G291" s="2" t="s">
        <v>22</v>
      </c>
      <c r="H291" s="2" t="s">
        <v>74</v>
      </c>
      <c r="I291" s="2" t="s">
        <v>24</v>
      </c>
      <c r="J291" s="2" t="s">
        <v>95</v>
      </c>
      <c r="K291" s="2">
        <v>2</v>
      </c>
      <c r="L291" s="15">
        <v>18000</v>
      </c>
      <c r="M291" s="2">
        <v>15</v>
      </c>
      <c r="N291" s="15">
        <v>30600</v>
      </c>
      <c r="O291" s="15">
        <v>22000</v>
      </c>
      <c r="P291" s="15">
        <v>8600</v>
      </c>
      <c r="Q291" s="2" t="s">
        <v>64</v>
      </c>
      <c r="R291" s="2" t="s">
        <v>33</v>
      </c>
    </row>
    <row r="292" spans="1:18" x14ac:dyDescent="0.2">
      <c r="A292" s="2" t="s">
        <v>360</v>
      </c>
      <c r="B292" s="3">
        <v>45695</v>
      </c>
      <c r="C292" s="2" t="s">
        <v>35</v>
      </c>
      <c r="D292" s="2" t="s">
        <v>41</v>
      </c>
      <c r="E292" s="2">
        <v>34</v>
      </c>
      <c r="F292" s="2" t="s">
        <v>49</v>
      </c>
      <c r="G292" s="2" t="s">
        <v>69</v>
      </c>
      <c r="H292" s="2" t="s">
        <v>70</v>
      </c>
      <c r="I292" s="2" t="s">
        <v>45</v>
      </c>
      <c r="J292" s="2" t="s">
        <v>95</v>
      </c>
      <c r="K292" s="2">
        <v>3</v>
      </c>
      <c r="L292" s="15">
        <v>22000</v>
      </c>
      <c r="M292" s="2">
        <v>0</v>
      </c>
      <c r="N292" s="15">
        <v>66000</v>
      </c>
      <c r="O292" s="15">
        <v>42000</v>
      </c>
      <c r="P292" s="15">
        <v>24000</v>
      </c>
      <c r="Q292" s="2" t="s">
        <v>64</v>
      </c>
      <c r="R292" s="2" t="s">
        <v>38</v>
      </c>
    </row>
    <row r="293" spans="1:18" x14ac:dyDescent="0.2">
      <c r="A293" s="2" t="s">
        <v>361</v>
      </c>
      <c r="B293" s="3">
        <v>45921</v>
      </c>
      <c r="C293" s="2" t="s">
        <v>29</v>
      </c>
      <c r="D293" s="2" t="s">
        <v>20</v>
      </c>
      <c r="E293" s="2">
        <v>39</v>
      </c>
      <c r="F293" s="2" t="s">
        <v>68</v>
      </c>
      <c r="G293" s="2" t="s">
        <v>22</v>
      </c>
      <c r="H293" s="2" t="s">
        <v>23</v>
      </c>
      <c r="I293" s="2" t="s">
        <v>31</v>
      </c>
      <c r="J293" s="2" t="s">
        <v>52</v>
      </c>
      <c r="K293" s="2">
        <v>3</v>
      </c>
      <c r="L293" s="15">
        <v>15000</v>
      </c>
      <c r="M293" s="2">
        <v>10</v>
      </c>
      <c r="N293" s="15">
        <v>40500</v>
      </c>
      <c r="O293" s="15">
        <v>27000</v>
      </c>
      <c r="P293" s="15">
        <v>13500</v>
      </c>
      <c r="Q293" s="2" t="s">
        <v>47</v>
      </c>
      <c r="R293" s="2" t="s">
        <v>58</v>
      </c>
    </row>
    <row r="294" spans="1:18" x14ac:dyDescent="0.2">
      <c r="A294" s="2" t="s">
        <v>362</v>
      </c>
      <c r="B294" s="3">
        <v>46000</v>
      </c>
      <c r="C294" s="2" t="s">
        <v>73</v>
      </c>
      <c r="D294" s="2" t="s">
        <v>20</v>
      </c>
      <c r="E294" s="2">
        <v>45</v>
      </c>
      <c r="F294" s="2" t="s">
        <v>21</v>
      </c>
      <c r="G294" s="2" t="s">
        <v>69</v>
      </c>
      <c r="H294" s="2" t="s">
        <v>70</v>
      </c>
      <c r="I294" s="2" t="s">
        <v>45</v>
      </c>
      <c r="J294" s="2" t="s">
        <v>95</v>
      </c>
      <c r="K294" s="2">
        <v>1</v>
      </c>
      <c r="L294" s="15">
        <v>22000</v>
      </c>
      <c r="M294" s="2">
        <v>15</v>
      </c>
      <c r="N294" s="15">
        <v>18700</v>
      </c>
      <c r="O294" s="15">
        <v>14000</v>
      </c>
      <c r="P294" s="15">
        <v>4700</v>
      </c>
      <c r="Q294" s="2" t="s">
        <v>64</v>
      </c>
      <c r="R294" s="2" t="s">
        <v>38</v>
      </c>
    </row>
    <row r="295" spans="1:18" x14ac:dyDescent="0.2">
      <c r="A295" s="2" t="s">
        <v>363</v>
      </c>
      <c r="B295" s="3">
        <v>46002</v>
      </c>
      <c r="C295" s="2" t="s">
        <v>56</v>
      </c>
      <c r="D295" s="2" t="s">
        <v>20</v>
      </c>
      <c r="E295" s="2">
        <v>31</v>
      </c>
      <c r="F295" s="2" t="s">
        <v>68</v>
      </c>
      <c r="G295" s="2" t="s">
        <v>43</v>
      </c>
      <c r="H295" s="2" t="s">
        <v>44</v>
      </c>
      <c r="I295" s="2" t="s">
        <v>45</v>
      </c>
      <c r="J295" s="2" t="s">
        <v>25</v>
      </c>
      <c r="K295" s="2">
        <v>3</v>
      </c>
      <c r="L295" s="15">
        <v>20000</v>
      </c>
      <c r="M295" s="2">
        <v>15</v>
      </c>
      <c r="N295" s="15">
        <v>51000</v>
      </c>
      <c r="O295" s="15">
        <v>36000</v>
      </c>
      <c r="P295" s="15">
        <v>15000</v>
      </c>
      <c r="Q295" s="2" t="s">
        <v>47</v>
      </c>
      <c r="R295" s="2" t="s">
        <v>27</v>
      </c>
    </row>
    <row r="296" spans="1:18" x14ac:dyDescent="0.2">
      <c r="A296" s="2" t="s">
        <v>364</v>
      </c>
      <c r="B296" s="3">
        <v>45976</v>
      </c>
      <c r="C296" s="2" t="s">
        <v>89</v>
      </c>
      <c r="D296" s="2" t="s">
        <v>20</v>
      </c>
      <c r="E296" s="2">
        <v>33</v>
      </c>
      <c r="F296" s="2" t="s">
        <v>30</v>
      </c>
      <c r="G296" s="2" t="s">
        <v>43</v>
      </c>
      <c r="H296" s="2" t="s">
        <v>44</v>
      </c>
      <c r="I296" s="2" t="s">
        <v>45</v>
      </c>
      <c r="J296" s="2" t="s">
        <v>66</v>
      </c>
      <c r="K296" s="2">
        <v>1</v>
      </c>
      <c r="L296" s="15">
        <v>20000</v>
      </c>
      <c r="M296" s="2">
        <v>0</v>
      </c>
      <c r="N296" s="15">
        <v>20000</v>
      </c>
      <c r="O296" s="15">
        <v>12000</v>
      </c>
      <c r="P296" s="15">
        <v>8000</v>
      </c>
      <c r="Q296" s="2" t="s">
        <v>47</v>
      </c>
      <c r="R296" s="2" t="s">
        <v>33</v>
      </c>
    </row>
    <row r="297" spans="1:18" x14ac:dyDescent="0.2">
      <c r="A297" s="2" t="s">
        <v>365</v>
      </c>
      <c r="B297" s="3">
        <v>45854</v>
      </c>
      <c r="C297" s="2" t="s">
        <v>40</v>
      </c>
      <c r="D297" s="2" t="s">
        <v>41</v>
      </c>
      <c r="E297" s="2">
        <v>27</v>
      </c>
      <c r="F297" s="2" t="s">
        <v>49</v>
      </c>
      <c r="G297" s="2" t="s">
        <v>36</v>
      </c>
      <c r="H297" s="2" t="s">
        <v>37</v>
      </c>
      <c r="I297" s="2" t="s">
        <v>71</v>
      </c>
      <c r="J297" s="2" t="s">
        <v>46</v>
      </c>
      <c r="K297" s="2">
        <v>3</v>
      </c>
      <c r="L297" s="15">
        <v>8000</v>
      </c>
      <c r="M297" s="2">
        <v>15</v>
      </c>
      <c r="N297" s="15">
        <v>20400</v>
      </c>
      <c r="O297" s="15">
        <v>13500</v>
      </c>
      <c r="P297" s="15">
        <v>6900</v>
      </c>
      <c r="Q297" s="2" t="s">
        <v>64</v>
      </c>
      <c r="R297" s="2" t="s">
        <v>27</v>
      </c>
    </row>
    <row r="298" spans="1:18" x14ac:dyDescent="0.2">
      <c r="A298" s="2" t="s">
        <v>366</v>
      </c>
      <c r="B298" s="3">
        <v>45784</v>
      </c>
      <c r="C298" s="2" t="s">
        <v>54</v>
      </c>
      <c r="D298" s="2" t="s">
        <v>41</v>
      </c>
      <c r="E298" s="2">
        <v>29</v>
      </c>
      <c r="F298" s="2" t="s">
        <v>68</v>
      </c>
      <c r="G298" s="2" t="s">
        <v>50</v>
      </c>
      <c r="H298" s="2" t="s">
        <v>51</v>
      </c>
      <c r="I298" s="2" t="s">
        <v>45</v>
      </c>
      <c r="J298" s="2" t="s">
        <v>46</v>
      </c>
      <c r="K298" s="2">
        <v>2</v>
      </c>
      <c r="L298" s="15">
        <v>16000</v>
      </c>
      <c r="M298" s="2">
        <v>0</v>
      </c>
      <c r="N298" s="15">
        <v>32000</v>
      </c>
      <c r="O298" s="15">
        <v>20000</v>
      </c>
      <c r="P298" s="15">
        <v>12000</v>
      </c>
      <c r="Q298" s="2" t="s">
        <v>47</v>
      </c>
      <c r="R298" s="2" t="s">
        <v>27</v>
      </c>
    </row>
    <row r="299" spans="1:18" x14ac:dyDescent="0.2">
      <c r="A299" s="2" t="s">
        <v>367</v>
      </c>
      <c r="B299" s="3">
        <v>45944</v>
      </c>
      <c r="C299" s="2" t="s">
        <v>91</v>
      </c>
      <c r="D299" s="2" t="s">
        <v>41</v>
      </c>
      <c r="E299" s="2">
        <v>19</v>
      </c>
      <c r="F299" s="2" t="s">
        <v>30</v>
      </c>
      <c r="G299" s="2" t="s">
        <v>43</v>
      </c>
      <c r="H299" s="2" t="s">
        <v>60</v>
      </c>
      <c r="I299" s="2" t="s">
        <v>31</v>
      </c>
      <c r="J299" s="2" t="s">
        <v>95</v>
      </c>
      <c r="K299" s="2">
        <v>1</v>
      </c>
      <c r="L299" s="15">
        <v>15000</v>
      </c>
      <c r="M299" s="2">
        <v>10</v>
      </c>
      <c r="N299" s="15">
        <v>13500</v>
      </c>
      <c r="O299" s="15">
        <v>9000</v>
      </c>
      <c r="P299" s="15">
        <v>4500</v>
      </c>
      <c r="Q299" s="2" t="s">
        <v>26</v>
      </c>
      <c r="R299" s="2" t="s">
        <v>38</v>
      </c>
    </row>
    <row r="300" spans="1:18" x14ac:dyDescent="0.2">
      <c r="A300" s="2" t="s">
        <v>368</v>
      </c>
      <c r="B300" s="3">
        <v>45850</v>
      </c>
      <c r="C300" s="2" t="s">
        <v>29</v>
      </c>
      <c r="D300" s="2" t="s">
        <v>41</v>
      </c>
      <c r="E300" s="2">
        <v>21</v>
      </c>
      <c r="F300" s="2" t="s">
        <v>49</v>
      </c>
      <c r="G300" s="2" t="s">
        <v>69</v>
      </c>
      <c r="H300" s="2" t="s">
        <v>70</v>
      </c>
      <c r="I300" s="2" t="s">
        <v>45</v>
      </c>
      <c r="J300" s="2" t="s">
        <v>25</v>
      </c>
      <c r="K300" s="2">
        <v>1</v>
      </c>
      <c r="L300" s="15">
        <v>22000</v>
      </c>
      <c r="M300" s="2">
        <v>15</v>
      </c>
      <c r="N300" s="15">
        <v>18700</v>
      </c>
      <c r="O300" s="15">
        <v>14000</v>
      </c>
      <c r="P300" s="15">
        <v>4700</v>
      </c>
      <c r="Q300" s="2" t="s">
        <v>64</v>
      </c>
      <c r="R300" s="2" t="s">
        <v>58</v>
      </c>
    </row>
    <row r="301" spans="1:18" x14ac:dyDescent="0.2">
      <c r="A301" s="2" t="s">
        <v>369</v>
      </c>
      <c r="B301" s="3">
        <v>45679</v>
      </c>
      <c r="C301" s="2" t="s">
        <v>86</v>
      </c>
      <c r="D301" s="2" t="s">
        <v>41</v>
      </c>
      <c r="E301" s="2">
        <v>54</v>
      </c>
      <c r="F301" s="2" t="s">
        <v>68</v>
      </c>
      <c r="G301" s="2" t="s">
        <v>69</v>
      </c>
      <c r="H301" s="2" t="s">
        <v>82</v>
      </c>
      <c r="I301" s="2" t="s">
        <v>31</v>
      </c>
      <c r="J301" s="2" t="s">
        <v>32</v>
      </c>
      <c r="K301" s="2">
        <v>1</v>
      </c>
      <c r="L301" s="15">
        <v>25000</v>
      </c>
      <c r="M301" s="2">
        <v>10</v>
      </c>
      <c r="N301" s="15">
        <v>22500</v>
      </c>
      <c r="O301" s="15">
        <v>17000</v>
      </c>
      <c r="P301" s="15">
        <v>5500</v>
      </c>
      <c r="Q301" s="2" t="s">
        <v>47</v>
      </c>
      <c r="R301" s="2" t="s">
        <v>33</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1"/>
  <sheetViews>
    <sheetView topLeftCell="A31" workbookViewId="0">
      <selection activeCell="D61" sqref="D61"/>
    </sheetView>
  </sheetViews>
  <sheetFormatPr defaultRowHeight="14.2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s="1">
        <v>45902</v>
      </c>
      <c r="C2" t="s">
        <v>19</v>
      </c>
      <c r="D2" t="s">
        <v>20</v>
      </c>
      <c r="E2">
        <v>23</v>
      </c>
      <c r="F2" t="s">
        <v>21</v>
      </c>
      <c r="G2" t="s">
        <v>22</v>
      </c>
      <c r="H2" t="s">
        <v>23</v>
      </c>
      <c r="I2" t="s">
        <v>24</v>
      </c>
      <c r="J2" t="s">
        <v>25</v>
      </c>
      <c r="K2">
        <v>1</v>
      </c>
      <c r="L2">
        <v>15000</v>
      </c>
      <c r="M2">
        <v>10</v>
      </c>
      <c r="N2">
        <v>13500</v>
      </c>
      <c r="O2">
        <v>9000</v>
      </c>
      <c r="P2">
        <v>4500</v>
      </c>
      <c r="Q2" t="s">
        <v>26</v>
      </c>
      <c r="R2" t="s">
        <v>27</v>
      </c>
    </row>
    <row r="3" spans="1:18" x14ac:dyDescent="0.2">
      <c r="A3" t="s">
        <v>28</v>
      </c>
      <c r="B3" s="1">
        <v>45947</v>
      </c>
      <c r="C3" t="s">
        <v>29</v>
      </c>
      <c r="D3" t="s">
        <v>20</v>
      </c>
      <c r="E3">
        <v>48</v>
      </c>
      <c r="F3" t="s">
        <v>30</v>
      </c>
      <c r="G3" t="s">
        <v>22</v>
      </c>
      <c r="H3" t="s">
        <v>23</v>
      </c>
      <c r="I3" t="s">
        <v>31</v>
      </c>
      <c r="J3" t="s">
        <v>32</v>
      </c>
      <c r="K3">
        <v>4</v>
      </c>
      <c r="L3">
        <v>15000</v>
      </c>
      <c r="M3">
        <v>5</v>
      </c>
      <c r="N3">
        <v>57000</v>
      </c>
      <c r="O3">
        <v>36000</v>
      </c>
      <c r="P3">
        <v>21000</v>
      </c>
      <c r="Q3" t="s">
        <v>26</v>
      </c>
      <c r="R3" t="s">
        <v>33</v>
      </c>
    </row>
    <row r="4" spans="1:18" x14ac:dyDescent="0.2">
      <c r="A4" t="s">
        <v>34</v>
      </c>
      <c r="B4" s="1">
        <v>45841</v>
      </c>
      <c r="C4" t="s">
        <v>35</v>
      </c>
      <c r="D4" t="s">
        <v>20</v>
      </c>
      <c r="E4">
        <v>39</v>
      </c>
      <c r="F4" t="s">
        <v>30</v>
      </c>
      <c r="G4" t="s">
        <v>36</v>
      </c>
      <c r="H4" t="s">
        <v>37</v>
      </c>
      <c r="I4" t="s">
        <v>31</v>
      </c>
      <c r="J4" t="s">
        <v>32</v>
      </c>
      <c r="K4">
        <v>1</v>
      </c>
      <c r="L4">
        <v>8000</v>
      </c>
      <c r="M4">
        <v>15</v>
      </c>
      <c r="N4">
        <v>6800</v>
      </c>
      <c r="O4">
        <v>4500</v>
      </c>
      <c r="P4">
        <v>2300</v>
      </c>
      <c r="Q4" t="s">
        <v>26</v>
      </c>
      <c r="R4" t="s">
        <v>38</v>
      </c>
    </row>
    <row r="5" spans="1:18" x14ac:dyDescent="0.2">
      <c r="A5" t="s">
        <v>39</v>
      </c>
      <c r="B5" s="1">
        <v>45675</v>
      </c>
      <c r="C5" t="s">
        <v>40</v>
      </c>
      <c r="D5" t="s">
        <v>41</v>
      </c>
      <c r="E5">
        <v>36</v>
      </c>
      <c r="F5" t="s">
        <v>42</v>
      </c>
      <c r="G5" t="s">
        <v>43</v>
      </c>
      <c r="H5" t="s">
        <v>44</v>
      </c>
      <c r="I5" t="s">
        <v>45</v>
      </c>
      <c r="J5" t="s">
        <v>46</v>
      </c>
      <c r="K5">
        <v>2</v>
      </c>
      <c r="L5">
        <v>20000</v>
      </c>
      <c r="M5">
        <v>10</v>
      </c>
      <c r="N5">
        <v>36000</v>
      </c>
      <c r="O5">
        <v>24000</v>
      </c>
      <c r="P5">
        <v>12000</v>
      </c>
      <c r="Q5" t="s">
        <v>47</v>
      </c>
      <c r="R5" t="s">
        <v>27</v>
      </c>
    </row>
    <row r="6" spans="1:18" x14ac:dyDescent="0.2">
      <c r="A6" t="s">
        <v>48</v>
      </c>
      <c r="B6" s="1">
        <v>45667</v>
      </c>
      <c r="C6" t="s">
        <v>29</v>
      </c>
      <c r="D6" t="s">
        <v>20</v>
      </c>
      <c r="E6">
        <v>29</v>
      </c>
      <c r="F6" t="s">
        <v>49</v>
      </c>
      <c r="G6" t="s">
        <v>50</v>
      </c>
      <c r="H6" t="s">
        <v>51</v>
      </c>
      <c r="I6" t="s">
        <v>31</v>
      </c>
      <c r="J6" t="s">
        <v>52</v>
      </c>
      <c r="K6">
        <v>3</v>
      </c>
      <c r="L6">
        <v>16000</v>
      </c>
      <c r="M6">
        <v>10</v>
      </c>
      <c r="N6">
        <v>43200</v>
      </c>
      <c r="O6">
        <v>30000</v>
      </c>
      <c r="P6">
        <v>13200</v>
      </c>
      <c r="Q6" t="s">
        <v>26</v>
      </c>
      <c r="R6" t="s">
        <v>33</v>
      </c>
    </row>
    <row r="7" spans="1:18" x14ac:dyDescent="0.2">
      <c r="A7" t="s">
        <v>53</v>
      </c>
      <c r="B7" s="1">
        <v>45831</v>
      </c>
      <c r="C7" t="s">
        <v>54</v>
      </c>
      <c r="D7" t="s">
        <v>41</v>
      </c>
      <c r="E7">
        <v>41</v>
      </c>
      <c r="F7" t="s">
        <v>49</v>
      </c>
      <c r="G7" t="s">
        <v>43</v>
      </c>
      <c r="H7" t="s">
        <v>44</v>
      </c>
      <c r="I7" t="s">
        <v>24</v>
      </c>
      <c r="J7" t="s">
        <v>32</v>
      </c>
      <c r="K7">
        <v>2</v>
      </c>
      <c r="L7">
        <v>20000</v>
      </c>
      <c r="M7">
        <v>10</v>
      </c>
      <c r="N7">
        <v>36000</v>
      </c>
      <c r="O7">
        <v>24000</v>
      </c>
      <c r="P7">
        <v>12000</v>
      </c>
      <c r="Q7" t="s">
        <v>26</v>
      </c>
      <c r="R7" t="s">
        <v>38</v>
      </c>
    </row>
    <row r="8" spans="1:18" x14ac:dyDescent="0.2">
      <c r="A8" t="s">
        <v>55</v>
      </c>
      <c r="B8" s="1">
        <v>45724</v>
      </c>
      <c r="C8" t="s">
        <v>56</v>
      </c>
      <c r="D8" t="s">
        <v>20</v>
      </c>
      <c r="E8">
        <v>40</v>
      </c>
      <c r="F8" t="s">
        <v>42</v>
      </c>
      <c r="G8" t="s">
        <v>50</v>
      </c>
      <c r="H8" t="s">
        <v>57</v>
      </c>
      <c r="I8" t="s">
        <v>45</v>
      </c>
      <c r="J8" t="s">
        <v>52</v>
      </c>
      <c r="K8">
        <v>2</v>
      </c>
      <c r="L8">
        <v>14000</v>
      </c>
      <c r="M8">
        <v>15</v>
      </c>
      <c r="N8">
        <v>23800</v>
      </c>
      <c r="O8">
        <v>17000</v>
      </c>
      <c r="P8">
        <v>6800</v>
      </c>
      <c r="Q8" t="s">
        <v>26</v>
      </c>
      <c r="R8" t="s">
        <v>58</v>
      </c>
    </row>
    <row r="9" spans="1:18" x14ac:dyDescent="0.2">
      <c r="A9" t="s">
        <v>59</v>
      </c>
      <c r="B9" s="1">
        <v>45861</v>
      </c>
      <c r="C9" t="s">
        <v>56</v>
      </c>
      <c r="D9" t="s">
        <v>20</v>
      </c>
      <c r="E9">
        <v>50</v>
      </c>
      <c r="F9" t="s">
        <v>42</v>
      </c>
      <c r="G9" t="s">
        <v>43</v>
      </c>
      <c r="H9" t="s">
        <v>60</v>
      </c>
      <c r="I9" t="s">
        <v>45</v>
      </c>
      <c r="J9" t="s">
        <v>52</v>
      </c>
      <c r="K9">
        <v>4</v>
      </c>
      <c r="L9">
        <v>15000</v>
      </c>
      <c r="M9">
        <v>10</v>
      </c>
      <c r="N9">
        <v>54000</v>
      </c>
      <c r="O9">
        <v>36000</v>
      </c>
      <c r="P9">
        <v>18000</v>
      </c>
      <c r="Q9" t="s">
        <v>47</v>
      </c>
      <c r="R9" t="s">
        <v>38</v>
      </c>
    </row>
    <row r="10" spans="1:18" x14ac:dyDescent="0.2">
      <c r="A10" t="s">
        <v>61</v>
      </c>
      <c r="B10" s="1">
        <v>45978</v>
      </c>
      <c r="C10" t="s">
        <v>62</v>
      </c>
      <c r="D10" t="s">
        <v>20</v>
      </c>
      <c r="E10">
        <v>51</v>
      </c>
      <c r="F10" t="s">
        <v>30</v>
      </c>
      <c r="G10" t="s">
        <v>36</v>
      </c>
      <c r="H10" t="s">
        <v>37</v>
      </c>
      <c r="I10" t="s">
        <v>24</v>
      </c>
      <c r="J10" t="s">
        <v>46</v>
      </c>
      <c r="K10">
        <v>3</v>
      </c>
      <c r="L10">
        <v>8000</v>
      </c>
      <c r="M10">
        <v>5</v>
      </c>
      <c r="N10">
        <v>22800</v>
      </c>
      <c r="O10">
        <v>13500</v>
      </c>
      <c r="P10">
        <v>9300</v>
      </c>
      <c r="Q10" t="s">
        <v>26</v>
      </c>
      <c r="R10" t="s">
        <v>38</v>
      </c>
    </row>
    <row r="11" spans="1:18" x14ac:dyDescent="0.2">
      <c r="A11" t="s">
        <v>63</v>
      </c>
      <c r="B11" s="1">
        <v>45911</v>
      </c>
      <c r="C11" t="s">
        <v>40</v>
      </c>
      <c r="D11" t="s">
        <v>41</v>
      </c>
      <c r="E11">
        <v>32</v>
      </c>
      <c r="F11" t="s">
        <v>21</v>
      </c>
      <c r="G11" t="s">
        <v>43</v>
      </c>
      <c r="H11" t="s">
        <v>60</v>
      </c>
      <c r="I11" t="s">
        <v>31</v>
      </c>
      <c r="J11" t="s">
        <v>25</v>
      </c>
      <c r="K11">
        <v>4</v>
      </c>
      <c r="L11">
        <v>15000</v>
      </c>
      <c r="M11">
        <v>15</v>
      </c>
      <c r="N11">
        <v>51000</v>
      </c>
      <c r="O11">
        <v>36000</v>
      </c>
      <c r="P11">
        <v>15000</v>
      </c>
      <c r="Q11" t="s">
        <v>64</v>
      </c>
      <c r="R11" t="s">
        <v>27</v>
      </c>
    </row>
    <row r="12" spans="1:18" x14ac:dyDescent="0.2">
      <c r="A12" t="s">
        <v>65</v>
      </c>
      <c r="B12" s="1">
        <v>45665</v>
      </c>
      <c r="C12" t="s">
        <v>19</v>
      </c>
      <c r="D12" t="s">
        <v>41</v>
      </c>
      <c r="E12">
        <v>21</v>
      </c>
      <c r="F12" t="s">
        <v>21</v>
      </c>
      <c r="G12" t="s">
        <v>43</v>
      </c>
      <c r="H12" t="s">
        <v>44</v>
      </c>
      <c r="I12" t="s">
        <v>24</v>
      </c>
      <c r="J12" t="s">
        <v>66</v>
      </c>
      <c r="K12">
        <v>1</v>
      </c>
      <c r="L12">
        <v>20000</v>
      </c>
      <c r="M12">
        <v>15</v>
      </c>
      <c r="N12">
        <v>17000</v>
      </c>
      <c r="O12">
        <v>12000</v>
      </c>
      <c r="P12">
        <v>5000</v>
      </c>
      <c r="Q12" t="s">
        <v>64</v>
      </c>
      <c r="R12" t="s">
        <v>58</v>
      </c>
    </row>
    <row r="13" spans="1:18" x14ac:dyDescent="0.2">
      <c r="A13" t="s">
        <v>67</v>
      </c>
      <c r="B13" s="1">
        <v>45679</v>
      </c>
      <c r="C13" t="s">
        <v>62</v>
      </c>
      <c r="D13" t="s">
        <v>41</v>
      </c>
      <c r="E13">
        <v>29</v>
      </c>
      <c r="F13" t="s">
        <v>68</v>
      </c>
      <c r="G13" t="s">
        <v>69</v>
      </c>
      <c r="H13" t="s">
        <v>70</v>
      </c>
      <c r="I13" t="s">
        <v>71</v>
      </c>
      <c r="J13" t="s">
        <v>32</v>
      </c>
      <c r="K13">
        <v>4</v>
      </c>
      <c r="L13">
        <v>22000</v>
      </c>
      <c r="M13">
        <v>0</v>
      </c>
      <c r="N13">
        <v>88000</v>
      </c>
      <c r="O13">
        <v>56000</v>
      </c>
      <c r="P13">
        <v>32000</v>
      </c>
      <c r="Q13" t="s">
        <v>47</v>
      </c>
      <c r="R13" t="s">
        <v>33</v>
      </c>
    </row>
    <row r="14" spans="1:18" x14ac:dyDescent="0.2">
      <c r="A14" t="s">
        <v>72</v>
      </c>
      <c r="B14" s="1">
        <v>45829</v>
      </c>
      <c r="C14" t="s">
        <v>73</v>
      </c>
      <c r="D14" t="s">
        <v>20</v>
      </c>
      <c r="E14">
        <v>44</v>
      </c>
      <c r="F14" t="s">
        <v>21</v>
      </c>
      <c r="G14" t="s">
        <v>22</v>
      </c>
      <c r="H14" t="s">
        <v>74</v>
      </c>
      <c r="I14" t="s">
        <v>45</v>
      </c>
      <c r="J14" t="s">
        <v>52</v>
      </c>
      <c r="K14">
        <v>3</v>
      </c>
      <c r="L14">
        <v>18000</v>
      </c>
      <c r="M14">
        <v>5</v>
      </c>
      <c r="N14">
        <v>51300</v>
      </c>
      <c r="O14">
        <v>33000</v>
      </c>
      <c r="P14">
        <v>18300</v>
      </c>
      <c r="Q14" t="s">
        <v>47</v>
      </c>
      <c r="R14" t="s">
        <v>38</v>
      </c>
    </row>
    <row r="15" spans="1:18" x14ac:dyDescent="0.2">
      <c r="A15" t="s">
        <v>75</v>
      </c>
      <c r="B15" s="1">
        <v>45759</v>
      </c>
      <c r="C15" t="s">
        <v>73</v>
      </c>
      <c r="D15" t="s">
        <v>20</v>
      </c>
      <c r="E15">
        <v>25</v>
      </c>
      <c r="F15" t="s">
        <v>49</v>
      </c>
      <c r="G15" t="s">
        <v>36</v>
      </c>
      <c r="H15" t="s">
        <v>76</v>
      </c>
      <c r="I15" t="s">
        <v>71</v>
      </c>
      <c r="J15" t="s">
        <v>52</v>
      </c>
      <c r="K15">
        <v>3</v>
      </c>
      <c r="L15">
        <v>10000</v>
      </c>
      <c r="M15">
        <v>0</v>
      </c>
      <c r="N15">
        <v>30000</v>
      </c>
      <c r="O15">
        <v>18000</v>
      </c>
      <c r="P15">
        <v>12000</v>
      </c>
      <c r="Q15" t="s">
        <v>26</v>
      </c>
      <c r="R15" t="s">
        <v>33</v>
      </c>
    </row>
    <row r="16" spans="1:18" x14ac:dyDescent="0.2">
      <c r="A16" t="s">
        <v>77</v>
      </c>
      <c r="B16" s="1">
        <v>45972</v>
      </c>
      <c r="C16" t="s">
        <v>78</v>
      </c>
      <c r="D16" t="s">
        <v>20</v>
      </c>
      <c r="E16">
        <v>49</v>
      </c>
      <c r="F16" t="s">
        <v>42</v>
      </c>
      <c r="G16" t="s">
        <v>43</v>
      </c>
      <c r="H16" t="s">
        <v>44</v>
      </c>
      <c r="I16" t="s">
        <v>45</v>
      </c>
      <c r="J16" t="s">
        <v>66</v>
      </c>
      <c r="K16">
        <v>4</v>
      </c>
      <c r="L16">
        <v>20000</v>
      </c>
      <c r="M16">
        <v>10</v>
      </c>
      <c r="N16">
        <v>72000</v>
      </c>
      <c r="O16">
        <v>48000</v>
      </c>
      <c r="P16">
        <v>24000</v>
      </c>
      <c r="Q16" t="s">
        <v>26</v>
      </c>
      <c r="R16" t="s">
        <v>33</v>
      </c>
    </row>
    <row r="17" spans="1:18" x14ac:dyDescent="0.2">
      <c r="A17" t="s">
        <v>79</v>
      </c>
      <c r="B17" s="1">
        <v>45984</v>
      </c>
      <c r="C17" t="s">
        <v>40</v>
      </c>
      <c r="D17" t="s">
        <v>41</v>
      </c>
      <c r="E17">
        <v>19</v>
      </c>
      <c r="F17" t="s">
        <v>30</v>
      </c>
      <c r="G17" t="s">
        <v>69</v>
      </c>
      <c r="H17" t="s">
        <v>70</v>
      </c>
      <c r="I17" t="s">
        <v>45</v>
      </c>
      <c r="J17" t="s">
        <v>66</v>
      </c>
      <c r="K17">
        <v>2</v>
      </c>
      <c r="L17">
        <v>22000</v>
      </c>
      <c r="M17">
        <v>10</v>
      </c>
      <c r="N17">
        <v>39600</v>
      </c>
      <c r="O17">
        <v>28000</v>
      </c>
      <c r="P17">
        <v>11600</v>
      </c>
      <c r="Q17" t="s">
        <v>26</v>
      </c>
      <c r="R17" t="s">
        <v>33</v>
      </c>
    </row>
    <row r="18" spans="1:18" x14ac:dyDescent="0.2">
      <c r="A18" t="s">
        <v>80</v>
      </c>
      <c r="B18" s="1">
        <v>45889</v>
      </c>
      <c r="C18" t="s">
        <v>81</v>
      </c>
      <c r="D18" t="s">
        <v>41</v>
      </c>
      <c r="E18">
        <v>32</v>
      </c>
      <c r="F18" t="s">
        <v>30</v>
      </c>
      <c r="G18" t="s">
        <v>69</v>
      </c>
      <c r="H18" t="s">
        <v>82</v>
      </c>
      <c r="I18" t="s">
        <v>24</v>
      </c>
      <c r="J18" t="s">
        <v>46</v>
      </c>
      <c r="K18">
        <v>2</v>
      </c>
      <c r="L18">
        <v>25000</v>
      </c>
      <c r="M18">
        <v>5</v>
      </c>
      <c r="N18">
        <v>47500</v>
      </c>
      <c r="O18">
        <v>34000</v>
      </c>
      <c r="P18">
        <v>13500</v>
      </c>
      <c r="Q18" t="s">
        <v>26</v>
      </c>
      <c r="R18" t="s">
        <v>27</v>
      </c>
    </row>
    <row r="19" spans="1:18" x14ac:dyDescent="0.2">
      <c r="A19" t="s">
        <v>83</v>
      </c>
      <c r="B19" s="1">
        <v>45906</v>
      </c>
      <c r="C19" t="s">
        <v>54</v>
      </c>
      <c r="D19" t="s">
        <v>20</v>
      </c>
      <c r="E19">
        <v>55</v>
      </c>
      <c r="F19" t="s">
        <v>68</v>
      </c>
      <c r="G19" t="s">
        <v>69</v>
      </c>
      <c r="H19" t="s">
        <v>70</v>
      </c>
      <c r="I19" t="s">
        <v>45</v>
      </c>
      <c r="J19" t="s">
        <v>46</v>
      </c>
      <c r="K19">
        <v>3</v>
      </c>
      <c r="L19">
        <v>22000</v>
      </c>
      <c r="M19">
        <v>15</v>
      </c>
      <c r="N19">
        <v>56100</v>
      </c>
      <c r="O19">
        <v>42000</v>
      </c>
      <c r="P19">
        <v>14100</v>
      </c>
      <c r="Q19" t="s">
        <v>64</v>
      </c>
      <c r="R19" t="s">
        <v>27</v>
      </c>
    </row>
    <row r="20" spans="1:18" x14ac:dyDescent="0.2">
      <c r="A20" t="s">
        <v>84</v>
      </c>
      <c r="B20" s="1">
        <v>45773</v>
      </c>
      <c r="C20" t="s">
        <v>78</v>
      </c>
      <c r="D20" t="s">
        <v>20</v>
      </c>
      <c r="E20">
        <v>39</v>
      </c>
      <c r="F20" t="s">
        <v>30</v>
      </c>
      <c r="G20" t="s">
        <v>50</v>
      </c>
      <c r="H20" t="s">
        <v>57</v>
      </c>
      <c r="I20" t="s">
        <v>71</v>
      </c>
      <c r="J20" t="s">
        <v>66</v>
      </c>
      <c r="K20">
        <v>3</v>
      </c>
      <c r="L20">
        <v>14000</v>
      </c>
      <c r="M20">
        <v>10</v>
      </c>
      <c r="N20">
        <v>37800</v>
      </c>
      <c r="O20">
        <v>25500</v>
      </c>
      <c r="P20">
        <v>12300</v>
      </c>
      <c r="Q20" t="s">
        <v>47</v>
      </c>
      <c r="R20" t="s">
        <v>58</v>
      </c>
    </row>
    <row r="21" spans="1:18" x14ac:dyDescent="0.2">
      <c r="A21" t="s">
        <v>85</v>
      </c>
      <c r="B21" s="1">
        <v>45934</v>
      </c>
      <c r="C21" t="s">
        <v>86</v>
      </c>
      <c r="D21" t="s">
        <v>41</v>
      </c>
      <c r="E21">
        <v>25</v>
      </c>
      <c r="F21" t="s">
        <v>21</v>
      </c>
      <c r="G21" t="s">
        <v>22</v>
      </c>
      <c r="H21" t="s">
        <v>74</v>
      </c>
      <c r="I21" t="s">
        <v>71</v>
      </c>
      <c r="J21" t="s">
        <v>46</v>
      </c>
      <c r="K21">
        <v>4</v>
      </c>
      <c r="L21">
        <v>18000</v>
      </c>
      <c r="M21">
        <v>15</v>
      </c>
      <c r="N21">
        <v>61200</v>
      </c>
      <c r="O21">
        <v>44000</v>
      </c>
      <c r="P21">
        <v>17200</v>
      </c>
      <c r="Q21" t="s">
        <v>64</v>
      </c>
      <c r="R21" t="s">
        <v>27</v>
      </c>
    </row>
    <row r="22" spans="1:18" x14ac:dyDescent="0.2">
      <c r="A22" t="s">
        <v>87</v>
      </c>
      <c r="B22" s="1">
        <v>45674</v>
      </c>
      <c r="C22" t="s">
        <v>86</v>
      </c>
      <c r="D22" t="s">
        <v>41</v>
      </c>
      <c r="E22">
        <v>33</v>
      </c>
      <c r="F22" t="s">
        <v>21</v>
      </c>
      <c r="G22" t="s">
        <v>36</v>
      </c>
      <c r="H22" t="s">
        <v>76</v>
      </c>
      <c r="I22" t="s">
        <v>24</v>
      </c>
      <c r="J22" t="s">
        <v>52</v>
      </c>
      <c r="K22">
        <v>2</v>
      </c>
      <c r="L22">
        <v>10000</v>
      </c>
      <c r="M22">
        <v>10</v>
      </c>
      <c r="N22">
        <v>18000</v>
      </c>
      <c r="O22">
        <v>12000</v>
      </c>
      <c r="P22">
        <v>6000</v>
      </c>
      <c r="Q22" t="s">
        <v>47</v>
      </c>
      <c r="R22" t="s">
        <v>33</v>
      </c>
    </row>
    <row r="23" spans="1:18" x14ac:dyDescent="0.2">
      <c r="A23" t="s">
        <v>88</v>
      </c>
      <c r="B23" s="1">
        <v>45822</v>
      </c>
      <c r="C23" t="s">
        <v>89</v>
      </c>
      <c r="D23" t="s">
        <v>41</v>
      </c>
      <c r="E23">
        <v>43</v>
      </c>
      <c r="F23" t="s">
        <v>68</v>
      </c>
      <c r="G23" t="s">
        <v>69</v>
      </c>
      <c r="H23" t="s">
        <v>70</v>
      </c>
      <c r="I23" t="s">
        <v>45</v>
      </c>
      <c r="J23" t="s">
        <v>32</v>
      </c>
      <c r="K23">
        <v>4</v>
      </c>
      <c r="L23">
        <v>22000</v>
      </c>
      <c r="M23">
        <v>10</v>
      </c>
      <c r="N23">
        <v>79200</v>
      </c>
      <c r="O23">
        <v>56000</v>
      </c>
      <c r="P23">
        <v>23200</v>
      </c>
      <c r="Q23" t="s">
        <v>64</v>
      </c>
      <c r="R23" t="s">
        <v>27</v>
      </c>
    </row>
    <row r="24" spans="1:18" x14ac:dyDescent="0.2">
      <c r="A24" t="s">
        <v>90</v>
      </c>
      <c r="B24" s="1">
        <v>45701</v>
      </c>
      <c r="C24" t="s">
        <v>91</v>
      </c>
      <c r="D24" t="s">
        <v>41</v>
      </c>
      <c r="E24">
        <v>30</v>
      </c>
      <c r="F24" t="s">
        <v>21</v>
      </c>
      <c r="G24" t="s">
        <v>36</v>
      </c>
      <c r="H24" t="s">
        <v>76</v>
      </c>
      <c r="I24" t="s">
        <v>31</v>
      </c>
      <c r="J24" t="s">
        <v>52</v>
      </c>
      <c r="K24">
        <v>3</v>
      </c>
      <c r="L24">
        <v>10000</v>
      </c>
      <c r="M24">
        <v>5</v>
      </c>
      <c r="N24">
        <v>28500</v>
      </c>
      <c r="O24">
        <v>18000</v>
      </c>
      <c r="P24">
        <v>10500</v>
      </c>
      <c r="Q24" t="s">
        <v>26</v>
      </c>
      <c r="R24" t="s">
        <v>27</v>
      </c>
    </row>
    <row r="25" spans="1:18" x14ac:dyDescent="0.2">
      <c r="A25" t="s">
        <v>92</v>
      </c>
      <c r="B25" s="1">
        <v>46003</v>
      </c>
      <c r="C25" t="s">
        <v>73</v>
      </c>
      <c r="D25" t="s">
        <v>20</v>
      </c>
      <c r="E25">
        <v>47</v>
      </c>
      <c r="F25" t="s">
        <v>49</v>
      </c>
      <c r="G25" t="s">
        <v>50</v>
      </c>
      <c r="H25" t="s">
        <v>51</v>
      </c>
      <c r="I25" t="s">
        <v>24</v>
      </c>
      <c r="J25" t="s">
        <v>52</v>
      </c>
      <c r="K25">
        <v>2</v>
      </c>
      <c r="L25">
        <v>16000</v>
      </c>
      <c r="M25">
        <v>5</v>
      </c>
      <c r="N25">
        <v>30400</v>
      </c>
      <c r="O25">
        <v>20000</v>
      </c>
      <c r="P25">
        <v>10400</v>
      </c>
      <c r="Q25" t="s">
        <v>64</v>
      </c>
      <c r="R25" t="s">
        <v>27</v>
      </c>
    </row>
    <row r="26" spans="1:18" x14ac:dyDescent="0.2">
      <c r="A26" t="s">
        <v>93</v>
      </c>
      <c r="B26" s="1">
        <v>45829</v>
      </c>
      <c r="C26" t="s">
        <v>54</v>
      </c>
      <c r="D26" t="s">
        <v>41</v>
      </c>
      <c r="E26">
        <v>49</v>
      </c>
      <c r="F26" t="s">
        <v>68</v>
      </c>
      <c r="G26" t="s">
        <v>69</v>
      </c>
      <c r="H26" t="s">
        <v>70</v>
      </c>
      <c r="I26" t="s">
        <v>71</v>
      </c>
      <c r="J26" t="s">
        <v>46</v>
      </c>
      <c r="K26">
        <v>1</v>
      </c>
      <c r="L26">
        <v>22000</v>
      </c>
      <c r="M26">
        <v>15</v>
      </c>
      <c r="N26">
        <v>18700</v>
      </c>
      <c r="O26">
        <v>14000</v>
      </c>
      <c r="P26">
        <v>4700</v>
      </c>
      <c r="Q26" t="s">
        <v>64</v>
      </c>
      <c r="R26" t="s">
        <v>27</v>
      </c>
    </row>
    <row r="27" spans="1:18" x14ac:dyDescent="0.2">
      <c r="A27" t="s">
        <v>94</v>
      </c>
      <c r="B27" s="1">
        <v>45675</v>
      </c>
      <c r="C27" t="s">
        <v>81</v>
      </c>
      <c r="D27" t="s">
        <v>20</v>
      </c>
      <c r="E27">
        <v>22</v>
      </c>
      <c r="F27" t="s">
        <v>42</v>
      </c>
      <c r="G27" t="s">
        <v>43</v>
      </c>
      <c r="H27" t="s">
        <v>60</v>
      </c>
      <c r="I27" t="s">
        <v>45</v>
      </c>
      <c r="J27" t="s">
        <v>95</v>
      </c>
      <c r="K27">
        <v>1</v>
      </c>
      <c r="L27">
        <v>15000</v>
      </c>
      <c r="M27">
        <v>10</v>
      </c>
      <c r="N27">
        <v>13500</v>
      </c>
      <c r="O27">
        <v>9000</v>
      </c>
      <c r="P27">
        <v>4500</v>
      </c>
      <c r="Q27" t="s">
        <v>47</v>
      </c>
      <c r="R27" t="s">
        <v>27</v>
      </c>
    </row>
    <row r="28" spans="1:18" x14ac:dyDescent="0.2">
      <c r="A28" t="s">
        <v>96</v>
      </c>
      <c r="B28" s="1">
        <v>45887</v>
      </c>
      <c r="C28" t="s">
        <v>81</v>
      </c>
      <c r="D28" t="s">
        <v>41</v>
      </c>
      <c r="E28">
        <v>37</v>
      </c>
      <c r="F28" t="s">
        <v>68</v>
      </c>
      <c r="G28" t="s">
        <v>69</v>
      </c>
      <c r="H28" t="s">
        <v>70</v>
      </c>
      <c r="I28" t="s">
        <v>24</v>
      </c>
      <c r="J28" t="s">
        <v>32</v>
      </c>
      <c r="K28">
        <v>3</v>
      </c>
      <c r="L28">
        <v>22000</v>
      </c>
      <c r="M28">
        <v>10</v>
      </c>
      <c r="N28">
        <v>59400</v>
      </c>
      <c r="O28">
        <v>42000</v>
      </c>
      <c r="P28">
        <v>17400</v>
      </c>
      <c r="Q28" t="s">
        <v>47</v>
      </c>
      <c r="R28" t="s">
        <v>27</v>
      </c>
    </row>
    <row r="29" spans="1:18" x14ac:dyDescent="0.2">
      <c r="A29" t="s">
        <v>97</v>
      </c>
      <c r="B29" s="1">
        <v>45678</v>
      </c>
      <c r="C29" t="s">
        <v>78</v>
      </c>
      <c r="D29" t="s">
        <v>41</v>
      </c>
      <c r="E29">
        <v>29</v>
      </c>
      <c r="F29" t="s">
        <v>68</v>
      </c>
      <c r="G29" t="s">
        <v>69</v>
      </c>
      <c r="H29" t="s">
        <v>70</v>
      </c>
      <c r="I29" t="s">
        <v>71</v>
      </c>
      <c r="J29" t="s">
        <v>95</v>
      </c>
      <c r="K29">
        <v>2</v>
      </c>
      <c r="L29">
        <v>22000</v>
      </c>
      <c r="M29">
        <v>0</v>
      </c>
      <c r="N29">
        <v>44000</v>
      </c>
      <c r="O29">
        <v>28000</v>
      </c>
      <c r="P29">
        <v>16000</v>
      </c>
      <c r="Q29" t="s">
        <v>26</v>
      </c>
      <c r="R29" t="s">
        <v>33</v>
      </c>
    </row>
    <row r="30" spans="1:18" x14ac:dyDescent="0.2">
      <c r="A30" t="s">
        <v>98</v>
      </c>
      <c r="B30" s="1">
        <v>45790</v>
      </c>
      <c r="C30" t="s">
        <v>81</v>
      </c>
      <c r="D30" t="s">
        <v>20</v>
      </c>
      <c r="E30">
        <v>52</v>
      </c>
      <c r="F30" t="s">
        <v>68</v>
      </c>
      <c r="G30" t="s">
        <v>69</v>
      </c>
      <c r="H30" t="s">
        <v>82</v>
      </c>
      <c r="I30" t="s">
        <v>24</v>
      </c>
      <c r="J30" t="s">
        <v>25</v>
      </c>
      <c r="K30">
        <v>3</v>
      </c>
      <c r="L30">
        <v>25000</v>
      </c>
      <c r="M30">
        <v>10</v>
      </c>
      <c r="N30">
        <v>67500</v>
      </c>
      <c r="O30">
        <v>51000</v>
      </c>
      <c r="P30">
        <v>16500</v>
      </c>
      <c r="Q30" t="s">
        <v>26</v>
      </c>
      <c r="R30" t="s">
        <v>27</v>
      </c>
    </row>
    <row r="31" spans="1:18" x14ac:dyDescent="0.2">
      <c r="A31" t="s">
        <v>99</v>
      </c>
      <c r="B31" s="1">
        <v>45769</v>
      </c>
      <c r="C31" t="s">
        <v>86</v>
      </c>
      <c r="D31" t="s">
        <v>41</v>
      </c>
      <c r="E31">
        <v>50</v>
      </c>
      <c r="F31" t="s">
        <v>30</v>
      </c>
      <c r="G31" t="s">
        <v>22</v>
      </c>
      <c r="H31" t="s">
        <v>74</v>
      </c>
      <c r="I31" t="s">
        <v>45</v>
      </c>
      <c r="J31" t="s">
        <v>25</v>
      </c>
      <c r="K31">
        <v>3</v>
      </c>
      <c r="L31">
        <v>18000</v>
      </c>
      <c r="M31">
        <v>0</v>
      </c>
      <c r="N31">
        <v>54000</v>
      </c>
      <c r="O31">
        <v>33000</v>
      </c>
      <c r="P31">
        <v>21000</v>
      </c>
      <c r="Q31" t="s">
        <v>47</v>
      </c>
      <c r="R31" t="s">
        <v>33</v>
      </c>
    </row>
    <row r="32" spans="1:18" x14ac:dyDescent="0.2">
      <c r="A32" t="s">
        <v>100</v>
      </c>
      <c r="B32" s="1">
        <v>45950</v>
      </c>
      <c r="C32" t="s">
        <v>56</v>
      </c>
      <c r="D32" t="s">
        <v>41</v>
      </c>
      <c r="E32">
        <v>29</v>
      </c>
      <c r="F32" t="s">
        <v>30</v>
      </c>
      <c r="G32" t="s">
        <v>50</v>
      </c>
      <c r="H32" t="s">
        <v>57</v>
      </c>
      <c r="I32" t="s">
        <v>45</v>
      </c>
      <c r="J32" t="s">
        <v>66</v>
      </c>
      <c r="K32">
        <v>1</v>
      </c>
      <c r="L32">
        <v>14000</v>
      </c>
      <c r="M32">
        <v>5</v>
      </c>
      <c r="N32">
        <v>13300</v>
      </c>
      <c r="O32">
        <v>8500</v>
      </c>
      <c r="P32">
        <v>4800</v>
      </c>
      <c r="Q32" t="s">
        <v>64</v>
      </c>
      <c r="R32" t="s">
        <v>27</v>
      </c>
    </row>
    <row r="33" spans="1:18" x14ac:dyDescent="0.2">
      <c r="A33" t="s">
        <v>101</v>
      </c>
      <c r="B33" s="1">
        <v>45805</v>
      </c>
      <c r="C33" t="s">
        <v>54</v>
      </c>
      <c r="D33" t="s">
        <v>41</v>
      </c>
      <c r="E33">
        <v>20</v>
      </c>
      <c r="F33" t="s">
        <v>30</v>
      </c>
      <c r="G33" t="s">
        <v>22</v>
      </c>
      <c r="H33" t="s">
        <v>23</v>
      </c>
      <c r="I33" t="s">
        <v>71</v>
      </c>
      <c r="J33" t="s">
        <v>95</v>
      </c>
      <c r="K33">
        <v>1</v>
      </c>
      <c r="L33">
        <v>15000</v>
      </c>
      <c r="M33">
        <v>5</v>
      </c>
      <c r="N33">
        <v>14250</v>
      </c>
      <c r="O33">
        <v>9000</v>
      </c>
      <c r="P33">
        <v>5250</v>
      </c>
      <c r="Q33" t="s">
        <v>26</v>
      </c>
      <c r="R33" t="s">
        <v>38</v>
      </c>
    </row>
    <row r="34" spans="1:18" x14ac:dyDescent="0.2">
      <c r="A34" t="s">
        <v>102</v>
      </c>
      <c r="B34" s="1">
        <v>46010</v>
      </c>
      <c r="C34" t="s">
        <v>89</v>
      </c>
      <c r="D34" t="s">
        <v>41</v>
      </c>
      <c r="E34">
        <v>25</v>
      </c>
      <c r="F34" t="s">
        <v>21</v>
      </c>
      <c r="G34" t="s">
        <v>69</v>
      </c>
      <c r="H34" t="s">
        <v>82</v>
      </c>
      <c r="I34" t="s">
        <v>31</v>
      </c>
      <c r="J34" t="s">
        <v>52</v>
      </c>
      <c r="K34">
        <v>3</v>
      </c>
      <c r="L34">
        <v>25000</v>
      </c>
      <c r="M34">
        <v>15</v>
      </c>
      <c r="N34">
        <v>63750</v>
      </c>
      <c r="O34">
        <v>51000</v>
      </c>
      <c r="P34">
        <v>12750</v>
      </c>
      <c r="Q34" t="s">
        <v>47</v>
      </c>
      <c r="R34" t="s">
        <v>58</v>
      </c>
    </row>
    <row r="35" spans="1:18" x14ac:dyDescent="0.2">
      <c r="A35" t="s">
        <v>103</v>
      </c>
      <c r="B35" s="1">
        <v>45703</v>
      </c>
      <c r="C35" t="s">
        <v>78</v>
      </c>
      <c r="D35" t="s">
        <v>41</v>
      </c>
      <c r="E35">
        <v>39</v>
      </c>
      <c r="F35" t="s">
        <v>68</v>
      </c>
      <c r="G35" t="s">
        <v>50</v>
      </c>
      <c r="H35" t="s">
        <v>51</v>
      </c>
      <c r="I35" t="s">
        <v>71</v>
      </c>
      <c r="J35" t="s">
        <v>66</v>
      </c>
      <c r="K35">
        <v>3</v>
      </c>
      <c r="L35">
        <v>16000</v>
      </c>
      <c r="M35">
        <v>0</v>
      </c>
      <c r="N35">
        <v>48000</v>
      </c>
      <c r="O35">
        <v>30000</v>
      </c>
      <c r="P35">
        <v>18000</v>
      </c>
      <c r="Q35" t="s">
        <v>47</v>
      </c>
      <c r="R35" t="s">
        <v>27</v>
      </c>
    </row>
    <row r="36" spans="1:18" x14ac:dyDescent="0.2">
      <c r="A36" t="s">
        <v>104</v>
      </c>
      <c r="B36" s="1">
        <v>46006</v>
      </c>
      <c r="C36" t="s">
        <v>62</v>
      </c>
      <c r="D36" t="s">
        <v>41</v>
      </c>
      <c r="E36">
        <v>26</v>
      </c>
      <c r="F36" t="s">
        <v>68</v>
      </c>
      <c r="G36" t="s">
        <v>50</v>
      </c>
      <c r="H36" t="s">
        <v>51</v>
      </c>
      <c r="I36" t="s">
        <v>45</v>
      </c>
      <c r="J36" t="s">
        <v>46</v>
      </c>
      <c r="K36">
        <v>1</v>
      </c>
      <c r="L36">
        <v>16000</v>
      </c>
      <c r="M36">
        <v>5</v>
      </c>
      <c r="N36">
        <v>15200</v>
      </c>
      <c r="O36">
        <v>10000</v>
      </c>
      <c r="P36">
        <v>5200</v>
      </c>
      <c r="Q36" t="s">
        <v>47</v>
      </c>
      <c r="R36" t="s">
        <v>33</v>
      </c>
    </row>
    <row r="37" spans="1:18" x14ac:dyDescent="0.2">
      <c r="A37" t="s">
        <v>105</v>
      </c>
      <c r="B37" s="1">
        <v>45971</v>
      </c>
      <c r="C37" t="s">
        <v>29</v>
      </c>
      <c r="D37" t="s">
        <v>20</v>
      </c>
      <c r="E37">
        <v>41</v>
      </c>
      <c r="F37" t="s">
        <v>30</v>
      </c>
      <c r="G37" t="s">
        <v>43</v>
      </c>
      <c r="H37" t="s">
        <v>44</v>
      </c>
      <c r="I37" t="s">
        <v>71</v>
      </c>
      <c r="J37" t="s">
        <v>66</v>
      </c>
      <c r="K37">
        <v>1</v>
      </c>
      <c r="L37">
        <v>20000</v>
      </c>
      <c r="M37">
        <v>0</v>
      </c>
      <c r="N37">
        <v>20000</v>
      </c>
      <c r="O37">
        <v>12000</v>
      </c>
      <c r="P37">
        <v>8000</v>
      </c>
      <c r="Q37" t="s">
        <v>47</v>
      </c>
      <c r="R37" t="s">
        <v>33</v>
      </c>
    </row>
    <row r="38" spans="1:18" x14ac:dyDescent="0.2">
      <c r="A38" t="s">
        <v>106</v>
      </c>
      <c r="B38" s="1">
        <v>46010</v>
      </c>
      <c r="C38" t="s">
        <v>40</v>
      </c>
      <c r="D38" t="s">
        <v>20</v>
      </c>
      <c r="E38">
        <v>36</v>
      </c>
      <c r="F38" t="s">
        <v>68</v>
      </c>
      <c r="G38" t="s">
        <v>69</v>
      </c>
      <c r="H38" t="s">
        <v>82</v>
      </c>
      <c r="I38" t="s">
        <v>71</v>
      </c>
      <c r="J38" t="s">
        <v>25</v>
      </c>
      <c r="K38">
        <v>2</v>
      </c>
      <c r="L38">
        <v>25000</v>
      </c>
      <c r="M38">
        <v>0</v>
      </c>
      <c r="N38">
        <v>50000</v>
      </c>
      <c r="O38">
        <v>34000</v>
      </c>
      <c r="P38">
        <v>16000</v>
      </c>
      <c r="Q38" t="s">
        <v>64</v>
      </c>
      <c r="R38" t="s">
        <v>38</v>
      </c>
    </row>
    <row r="39" spans="1:18" x14ac:dyDescent="0.2">
      <c r="A39" t="s">
        <v>107</v>
      </c>
      <c r="B39" s="1">
        <v>45818</v>
      </c>
      <c r="C39" t="s">
        <v>40</v>
      </c>
      <c r="D39" t="s">
        <v>41</v>
      </c>
      <c r="E39">
        <v>21</v>
      </c>
      <c r="F39" t="s">
        <v>49</v>
      </c>
      <c r="G39" t="s">
        <v>69</v>
      </c>
      <c r="H39" t="s">
        <v>82</v>
      </c>
      <c r="I39" t="s">
        <v>71</v>
      </c>
      <c r="J39" t="s">
        <v>66</v>
      </c>
      <c r="K39">
        <v>1</v>
      </c>
      <c r="L39">
        <v>25000</v>
      </c>
      <c r="M39">
        <v>15</v>
      </c>
      <c r="N39">
        <v>21250</v>
      </c>
      <c r="O39">
        <v>17000</v>
      </c>
      <c r="P39">
        <v>4250</v>
      </c>
      <c r="Q39" t="s">
        <v>26</v>
      </c>
      <c r="R39" t="s">
        <v>33</v>
      </c>
    </row>
    <row r="40" spans="1:18" x14ac:dyDescent="0.2">
      <c r="A40" t="s">
        <v>108</v>
      </c>
      <c r="B40" s="1">
        <v>45723</v>
      </c>
      <c r="C40" t="s">
        <v>56</v>
      </c>
      <c r="D40" t="s">
        <v>41</v>
      </c>
      <c r="E40">
        <v>27</v>
      </c>
      <c r="F40" t="s">
        <v>42</v>
      </c>
      <c r="G40" t="s">
        <v>43</v>
      </c>
      <c r="H40" t="s">
        <v>60</v>
      </c>
      <c r="I40" t="s">
        <v>45</v>
      </c>
      <c r="J40" t="s">
        <v>25</v>
      </c>
      <c r="K40">
        <v>1</v>
      </c>
      <c r="L40">
        <v>15000</v>
      </c>
      <c r="M40">
        <v>0</v>
      </c>
      <c r="N40">
        <v>15000</v>
      </c>
      <c r="O40">
        <v>9000</v>
      </c>
      <c r="P40">
        <v>6000</v>
      </c>
      <c r="Q40" t="s">
        <v>47</v>
      </c>
      <c r="R40" t="s">
        <v>27</v>
      </c>
    </row>
    <row r="41" spans="1:18" x14ac:dyDescent="0.2">
      <c r="A41" t="s">
        <v>109</v>
      </c>
      <c r="B41" s="1">
        <v>45659</v>
      </c>
      <c r="C41" t="s">
        <v>56</v>
      </c>
      <c r="D41" t="s">
        <v>20</v>
      </c>
      <c r="E41">
        <v>18</v>
      </c>
      <c r="F41" t="s">
        <v>49</v>
      </c>
      <c r="G41" t="s">
        <v>69</v>
      </c>
      <c r="H41" t="s">
        <v>70</v>
      </c>
      <c r="I41" t="s">
        <v>24</v>
      </c>
      <c r="J41" t="s">
        <v>32</v>
      </c>
      <c r="K41">
        <v>1</v>
      </c>
      <c r="L41">
        <v>22000</v>
      </c>
      <c r="M41">
        <v>10</v>
      </c>
      <c r="N41">
        <v>19800</v>
      </c>
      <c r="O41">
        <v>14000</v>
      </c>
      <c r="P41">
        <v>5800</v>
      </c>
      <c r="Q41" t="s">
        <v>47</v>
      </c>
      <c r="R41" t="s">
        <v>33</v>
      </c>
    </row>
    <row r="42" spans="1:18" x14ac:dyDescent="0.2">
      <c r="A42" t="s">
        <v>110</v>
      </c>
      <c r="B42" s="1">
        <v>46004</v>
      </c>
      <c r="C42" t="s">
        <v>91</v>
      </c>
      <c r="D42" t="s">
        <v>20</v>
      </c>
      <c r="E42">
        <v>36</v>
      </c>
      <c r="F42" t="s">
        <v>21</v>
      </c>
      <c r="G42" t="s">
        <v>50</v>
      </c>
      <c r="H42" t="s">
        <v>57</v>
      </c>
      <c r="I42" t="s">
        <v>71</v>
      </c>
      <c r="J42" t="s">
        <v>66</v>
      </c>
      <c r="K42">
        <v>2</v>
      </c>
      <c r="L42">
        <v>14000</v>
      </c>
      <c r="M42">
        <v>0</v>
      </c>
      <c r="N42">
        <v>28000</v>
      </c>
      <c r="O42">
        <v>17000</v>
      </c>
      <c r="P42">
        <v>11000</v>
      </c>
      <c r="Q42" t="s">
        <v>64</v>
      </c>
      <c r="R42" t="s">
        <v>27</v>
      </c>
    </row>
    <row r="43" spans="1:18" x14ac:dyDescent="0.2">
      <c r="A43" t="s">
        <v>111</v>
      </c>
      <c r="B43" s="1">
        <v>45677</v>
      </c>
      <c r="C43" t="s">
        <v>81</v>
      </c>
      <c r="D43" t="s">
        <v>41</v>
      </c>
      <c r="E43">
        <v>36</v>
      </c>
      <c r="F43" t="s">
        <v>21</v>
      </c>
      <c r="G43" t="s">
        <v>50</v>
      </c>
      <c r="H43" t="s">
        <v>51</v>
      </c>
      <c r="I43" t="s">
        <v>45</v>
      </c>
      <c r="J43" t="s">
        <v>46</v>
      </c>
      <c r="K43">
        <v>3</v>
      </c>
      <c r="L43">
        <v>16000</v>
      </c>
      <c r="M43">
        <v>15</v>
      </c>
      <c r="N43">
        <v>40800</v>
      </c>
      <c r="O43">
        <v>30000</v>
      </c>
      <c r="P43">
        <v>10800</v>
      </c>
      <c r="Q43" t="s">
        <v>47</v>
      </c>
      <c r="R43" t="s">
        <v>27</v>
      </c>
    </row>
    <row r="44" spans="1:18" x14ac:dyDescent="0.2">
      <c r="A44" t="s">
        <v>112</v>
      </c>
      <c r="B44" s="1">
        <v>45764</v>
      </c>
      <c r="C44" t="s">
        <v>89</v>
      </c>
      <c r="D44" t="s">
        <v>20</v>
      </c>
      <c r="E44">
        <v>48</v>
      </c>
      <c r="F44" t="s">
        <v>49</v>
      </c>
      <c r="G44" t="s">
        <v>22</v>
      </c>
      <c r="H44" t="s">
        <v>74</v>
      </c>
      <c r="I44" t="s">
        <v>71</v>
      </c>
      <c r="J44" t="s">
        <v>66</v>
      </c>
      <c r="K44">
        <v>2</v>
      </c>
      <c r="L44">
        <v>18000</v>
      </c>
      <c r="M44">
        <v>0</v>
      </c>
      <c r="N44">
        <v>36000</v>
      </c>
      <c r="O44">
        <v>22000</v>
      </c>
      <c r="P44">
        <v>14000</v>
      </c>
      <c r="Q44" t="s">
        <v>47</v>
      </c>
      <c r="R44" t="s">
        <v>38</v>
      </c>
    </row>
    <row r="45" spans="1:18" x14ac:dyDescent="0.2">
      <c r="A45" t="s">
        <v>113</v>
      </c>
      <c r="B45" s="1">
        <v>45926</v>
      </c>
      <c r="C45" t="s">
        <v>19</v>
      </c>
      <c r="D45" t="s">
        <v>41</v>
      </c>
      <c r="E45">
        <v>44</v>
      </c>
      <c r="F45" t="s">
        <v>49</v>
      </c>
      <c r="G45" t="s">
        <v>69</v>
      </c>
      <c r="H45" t="s">
        <v>82</v>
      </c>
      <c r="I45" t="s">
        <v>24</v>
      </c>
      <c r="J45" t="s">
        <v>66</v>
      </c>
      <c r="K45">
        <v>1</v>
      </c>
      <c r="L45">
        <v>25000</v>
      </c>
      <c r="M45">
        <v>5</v>
      </c>
      <c r="N45">
        <v>23750</v>
      </c>
      <c r="O45">
        <v>17000</v>
      </c>
      <c r="P45">
        <v>6750</v>
      </c>
      <c r="Q45" t="s">
        <v>64</v>
      </c>
      <c r="R45" t="s">
        <v>58</v>
      </c>
    </row>
    <row r="46" spans="1:18" x14ac:dyDescent="0.2">
      <c r="A46" t="s">
        <v>114</v>
      </c>
      <c r="B46" s="1">
        <v>45834</v>
      </c>
      <c r="C46" t="s">
        <v>81</v>
      </c>
      <c r="D46" t="s">
        <v>20</v>
      </c>
      <c r="E46">
        <v>38</v>
      </c>
      <c r="F46" t="s">
        <v>30</v>
      </c>
      <c r="G46" t="s">
        <v>69</v>
      </c>
      <c r="H46" t="s">
        <v>82</v>
      </c>
      <c r="I46" t="s">
        <v>45</v>
      </c>
      <c r="J46" t="s">
        <v>52</v>
      </c>
      <c r="K46">
        <v>4</v>
      </c>
      <c r="L46">
        <v>25000</v>
      </c>
      <c r="M46">
        <v>15</v>
      </c>
      <c r="N46">
        <v>85000</v>
      </c>
      <c r="O46">
        <v>68000</v>
      </c>
      <c r="P46">
        <v>17000</v>
      </c>
      <c r="Q46" t="s">
        <v>26</v>
      </c>
      <c r="R46" t="s">
        <v>27</v>
      </c>
    </row>
    <row r="47" spans="1:18" x14ac:dyDescent="0.2">
      <c r="A47" t="s">
        <v>115</v>
      </c>
      <c r="B47" s="1">
        <v>45892</v>
      </c>
      <c r="C47" t="s">
        <v>81</v>
      </c>
      <c r="D47" t="s">
        <v>41</v>
      </c>
      <c r="E47">
        <v>20</v>
      </c>
      <c r="F47" t="s">
        <v>30</v>
      </c>
      <c r="G47" t="s">
        <v>22</v>
      </c>
      <c r="H47" t="s">
        <v>74</v>
      </c>
      <c r="I47" t="s">
        <v>45</v>
      </c>
      <c r="J47" t="s">
        <v>46</v>
      </c>
      <c r="K47">
        <v>4</v>
      </c>
      <c r="L47">
        <v>18000</v>
      </c>
      <c r="M47">
        <v>15</v>
      </c>
      <c r="N47">
        <v>61200</v>
      </c>
      <c r="O47">
        <v>44000</v>
      </c>
      <c r="P47">
        <v>17200</v>
      </c>
      <c r="Q47" t="s">
        <v>26</v>
      </c>
      <c r="R47" t="s">
        <v>38</v>
      </c>
    </row>
    <row r="48" spans="1:18" x14ac:dyDescent="0.2">
      <c r="A48" t="s">
        <v>116</v>
      </c>
      <c r="B48" s="1">
        <v>45916</v>
      </c>
      <c r="C48" t="s">
        <v>40</v>
      </c>
      <c r="D48" t="s">
        <v>20</v>
      </c>
      <c r="E48">
        <v>44</v>
      </c>
      <c r="F48" t="s">
        <v>30</v>
      </c>
      <c r="G48" t="s">
        <v>36</v>
      </c>
      <c r="H48" t="s">
        <v>37</v>
      </c>
      <c r="I48" t="s">
        <v>31</v>
      </c>
      <c r="J48" t="s">
        <v>95</v>
      </c>
      <c r="K48">
        <v>4</v>
      </c>
      <c r="L48">
        <v>8000</v>
      </c>
      <c r="M48">
        <v>5</v>
      </c>
      <c r="N48">
        <v>30400</v>
      </c>
      <c r="O48">
        <v>18000</v>
      </c>
      <c r="P48">
        <v>12400</v>
      </c>
      <c r="Q48" t="s">
        <v>26</v>
      </c>
      <c r="R48" t="s">
        <v>33</v>
      </c>
    </row>
    <row r="49" spans="1:18" x14ac:dyDescent="0.2">
      <c r="A49" t="s">
        <v>117</v>
      </c>
      <c r="B49" s="1">
        <v>45810</v>
      </c>
      <c r="C49" t="s">
        <v>40</v>
      </c>
      <c r="D49" t="s">
        <v>20</v>
      </c>
      <c r="E49">
        <v>46</v>
      </c>
      <c r="F49" t="s">
        <v>68</v>
      </c>
      <c r="G49" t="s">
        <v>69</v>
      </c>
      <c r="H49" t="s">
        <v>82</v>
      </c>
      <c r="I49" t="s">
        <v>24</v>
      </c>
      <c r="J49" t="s">
        <v>95</v>
      </c>
      <c r="K49">
        <v>2</v>
      </c>
      <c r="L49">
        <v>25000</v>
      </c>
      <c r="M49">
        <v>15</v>
      </c>
      <c r="N49">
        <v>42500</v>
      </c>
      <c r="O49">
        <v>34000</v>
      </c>
      <c r="P49">
        <v>8500</v>
      </c>
      <c r="Q49" t="s">
        <v>26</v>
      </c>
      <c r="R49" t="s">
        <v>58</v>
      </c>
    </row>
    <row r="50" spans="1:18" x14ac:dyDescent="0.2">
      <c r="A50" t="s">
        <v>118</v>
      </c>
      <c r="B50" s="1">
        <v>45771</v>
      </c>
      <c r="C50" t="s">
        <v>86</v>
      </c>
      <c r="D50" t="s">
        <v>20</v>
      </c>
      <c r="E50">
        <v>52</v>
      </c>
      <c r="F50" t="s">
        <v>68</v>
      </c>
      <c r="G50" t="s">
        <v>36</v>
      </c>
      <c r="H50" t="s">
        <v>37</v>
      </c>
      <c r="I50" t="s">
        <v>24</v>
      </c>
      <c r="J50" t="s">
        <v>32</v>
      </c>
      <c r="K50">
        <v>3</v>
      </c>
      <c r="L50">
        <v>8000</v>
      </c>
      <c r="M50">
        <v>5</v>
      </c>
      <c r="N50">
        <v>22800</v>
      </c>
      <c r="O50">
        <v>13500</v>
      </c>
      <c r="P50">
        <v>9300</v>
      </c>
      <c r="Q50" t="s">
        <v>64</v>
      </c>
      <c r="R50" t="s">
        <v>58</v>
      </c>
    </row>
    <row r="51" spans="1:18" x14ac:dyDescent="0.2">
      <c r="A51" t="s">
        <v>119</v>
      </c>
      <c r="B51" s="1">
        <v>45960</v>
      </c>
      <c r="C51" t="s">
        <v>62</v>
      </c>
      <c r="D51" t="s">
        <v>20</v>
      </c>
      <c r="E51">
        <v>45</v>
      </c>
      <c r="F51" t="s">
        <v>30</v>
      </c>
      <c r="G51" t="s">
        <v>22</v>
      </c>
      <c r="H51" t="s">
        <v>74</v>
      </c>
      <c r="I51" t="s">
        <v>71</v>
      </c>
      <c r="J51" t="s">
        <v>52</v>
      </c>
      <c r="K51">
        <v>2</v>
      </c>
      <c r="L51">
        <v>18000</v>
      </c>
      <c r="M51">
        <v>5</v>
      </c>
      <c r="N51">
        <v>34200</v>
      </c>
      <c r="O51">
        <v>22000</v>
      </c>
      <c r="P51">
        <v>12200</v>
      </c>
      <c r="Q51" t="s">
        <v>47</v>
      </c>
      <c r="R51" t="s">
        <v>58</v>
      </c>
    </row>
    <row r="52" spans="1:18" x14ac:dyDescent="0.2">
      <c r="A52" t="s">
        <v>120</v>
      </c>
      <c r="B52" s="1">
        <v>45697</v>
      </c>
      <c r="C52" t="s">
        <v>40</v>
      </c>
      <c r="D52" t="s">
        <v>41</v>
      </c>
      <c r="E52">
        <v>28</v>
      </c>
      <c r="F52" t="s">
        <v>42</v>
      </c>
      <c r="G52" t="s">
        <v>50</v>
      </c>
      <c r="H52" t="s">
        <v>57</v>
      </c>
      <c r="I52" t="s">
        <v>24</v>
      </c>
      <c r="J52" t="s">
        <v>52</v>
      </c>
      <c r="K52">
        <v>1</v>
      </c>
      <c r="L52">
        <v>14000</v>
      </c>
      <c r="M52">
        <v>10</v>
      </c>
      <c r="N52">
        <v>12600</v>
      </c>
      <c r="O52">
        <v>8500</v>
      </c>
      <c r="P52">
        <v>4100</v>
      </c>
      <c r="Q52" t="s">
        <v>26</v>
      </c>
      <c r="R52" t="s">
        <v>33</v>
      </c>
    </row>
    <row r="53" spans="1:18" x14ac:dyDescent="0.2">
      <c r="A53" t="s">
        <v>121</v>
      </c>
      <c r="B53" s="1">
        <v>45692</v>
      </c>
      <c r="C53" t="s">
        <v>89</v>
      </c>
      <c r="D53" t="s">
        <v>20</v>
      </c>
      <c r="E53">
        <v>44</v>
      </c>
      <c r="F53" t="s">
        <v>42</v>
      </c>
      <c r="G53" t="s">
        <v>43</v>
      </c>
      <c r="H53" t="s">
        <v>44</v>
      </c>
      <c r="I53" t="s">
        <v>31</v>
      </c>
      <c r="J53" t="s">
        <v>25</v>
      </c>
      <c r="K53">
        <v>2</v>
      </c>
      <c r="L53">
        <v>20000</v>
      </c>
      <c r="M53">
        <v>0</v>
      </c>
      <c r="N53">
        <v>40000</v>
      </c>
      <c r="O53">
        <v>24000</v>
      </c>
      <c r="P53">
        <v>16000</v>
      </c>
      <c r="Q53" t="s">
        <v>64</v>
      </c>
      <c r="R53" t="s">
        <v>58</v>
      </c>
    </row>
    <row r="54" spans="1:18" x14ac:dyDescent="0.2">
      <c r="A54" t="s">
        <v>122</v>
      </c>
      <c r="B54" s="1">
        <v>45842</v>
      </c>
      <c r="C54" t="s">
        <v>19</v>
      </c>
      <c r="D54" t="s">
        <v>20</v>
      </c>
      <c r="E54">
        <v>50</v>
      </c>
      <c r="F54" t="s">
        <v>68</v>
      </c>
      <c r="G54" t="s">
        <v>43</v>
      </c>
      <c r="H54" t="s">
        <v>60</v>
      </c>
      <c r="I54" t="s">
        <v>31</v>
      </c>
      <c r="J54" t="s">
        <v>25</v>
      </c>
      <c r="K54">
        <v>1</v>
      </c>
      <c r="L54">
        <v>15000</v>
      </c>
      <c r="M54">
        <v>15</v>
      </c>
      <c r="N54">
        <v>12750</v>
      </c>
      <c r="O54">
        <v>9000</v>
      </c>
      <c r="P54">
        <v>3750</v>
      </c>
      <c r="Q54" t="s">
        <v>26</v>
      </c>
      <c r="R54" t="s">
        <v>38</v>
      </c>
    </row>
    <row r="55" spans="1:18" x14ac:dyDescent="0.2">
      <c r="A55" t="s">
        <v>123</v>
      </c>
      <c r="B55" s="1">
        <v>45673</v>
      </c>
      <c r="C55" t="s">
        <v>62</v>
      </c>
      <c r="D55" t="s">
        <v>41</v>
      </c>
      <c r="E55">
        <v>52</v>
      </c>
      <c r="F55" t="s">
        <v>30</v>
      </c>
      <c r="G55" t="s">
        <v>36</v>
      </c>
      <c r="H55" t="s">
        <v>76</v>
      </c>
      <c r="I55" t="s">
        <v>71</v>
      </c>
      <c r="J55" t="s">
        <v>46</v>
      </c>
      <c r="K55">
        <v>1</v>
      </c>
      <c r="L55">
        <v>10000</v>
      </c>
      <c r="M55">
        <v>15</v>
      </c>
      <c r="N55">
        <v>8500</v>
      </c>
      <c r="O55">
        <v>6000</v>
      </c>
      <c r="P55">
        <v>2500</v>
      </c>
      <c r="Q55" t="s">
        <v>47</v>
      </c>
      <c r="R55" t="s">
        <v>58</v>
      </c>
    </row>
    <row r="56" spans="1:18" x14ac:dyDescent="0.2">
      <c r="A56" t="s">
        <v>124</v>
      </c>
      <c r="B56" s="1">
        <v>45745</v>
      </c>
      <c r="C56" t="s">
        <v>56</v>
      </c>
      <c r="D56" t="s">
        <v>20</v>
      </c>
      <c r="E56">
        <v>46</v>
      </c>
      <c r="F56" t="s">
        <v>49</v>
      </c>
      <c r="G56" t="s">
        <v>43</v>
      </c>
      <c r="H56" t="s">
        <v>60</v>
      </c>
      <c r="I56" t="s">
        <v>31</v>
      </c>
      <c r="J56" t="s">
        <v>95</v>
      </c>
      <c r="K56">
        <v>1</v>
      </c>
      <c r="L56">
        <v>15000</v>
      </c>
      <c r="M56">
        <v>0</v>
      </c>
      <c r="N56">
        <v>15000</v>
      </c>
      <c r="O56">
        <v>9000</v>
      </c>
      <c r="P56">
        <v>6000</v>
      </c>
      <c r="Q56" t="s">
        <v>47</v>
      </c>
      <c r="R56" t="s">
        <v>27</v>
      </c>
    </row>
    <row r="57" spans="1:18" x14ac:dyDescent="0.2">
      <c r="A57" t="s">
        <v>125</v>
      </c>
      <c r="B57" s="1">
        <v>45782</v>
      </c>
      <c r="C57" t="s">
        <v>78</v>
      </c>
      <c r="D57" t="s">
        <v>20</v>
      </c>
      <c r="E57">
        <v>35</v>
      </c>
      <c r="F57" t="s">
        <v>30</v>
      </c>
      <c r="G57" t="s">
        <v>43</v>
      </c>
      <c r="H57" t="s">
        <v>44</v>
      </c>
      <c r="I57" t="s">
        <v>45</v>
      </c>
      <c r="J57" t="s">
        <v>52</v>
      </c>
      <c r="K57">
        <v>2</v>
      </c>
      <c r="L57">
        <v>20000</v>
      </c>
      <c r="M57">
        <v>10</v>
      </c>
      <c r="N57">
        <v>36000</v>
      </c>
      <c r="O57">
        <v>24000</v>
      </c>
      <c r="P57">
        <v>12000</v>
      </c>
      <c r="Q57" t="s">
        <v>26</v>
      </c>
      <c r="R57" t="s">
        <v>38</v>
      </c>
    </row>
    <row r="58" spans="1:18" x14ac:dyDescent="0.2">
      <c r="A58" t="s">
        <v>126</v>
      </c>
      <c r="B58" s="1">
        <v>45966</v>
      </c>
      <c r="C58" t="s">
        <v>40</v>
      </c>
      <c r="D58" t="s">
        <v>41</v>
      </c>
      <c r="E58">
        <v>51</v>
      </c>
      <c r="F58" t="s">
        <v>42</v>
      </c>
      <c r="G58" t="s">
        <v>69</v>
      </c>
      <c r="H58" t="s">
        <v>70</v>
      </c>
      <c r="I58" t="s">
        <v>24</v>
      </c>
      <c r="J58" t="s">
        <v>95</v>
      </c>
      <c r="K58">
        <v>1</v>
      </c>
      <c r="L58">
        <v>22000</v>
      </c>
      <c r="M58">
        <v>0</v>
      </c>
      <c r="N58">
        <v>22000</v>
      </c>
      <c r="O58">
        <v>14000</v>
      </c>
      <c r="P58">
        <v>8000</v>
      </c>
      <c r="Q58" t="s">
        <v>64</v>
      </c>
      <c r="R58" t="s">
        <v>38</v>
      </c>
    </row>
    <row r="59" spans="1:18" x14ac:dyDescent="0.2">
      <c r="A59" t="s">
        <v>127</v>
      </c>
      <c r="B59" s="1">
        <v>45869</v>
      </c>
      <c r="C59" t="s">
        <v>81</v>
      </c>
      <c r="D59" t="s">
        <v>41</v>
      </c>
      <c r="E59">
        <v>34</v>
      </c>
      <c r="F59" t="s">
        <v>49</v>
      </c>
      <c r="G59" t="s">
        <v>36</v>
      </c>
      <c r="H59" t="s">
        <v>37</v>
      </c>
      <c r="I59" t="s">
        <v>24</v>
      </c>
      <c r="J59" t="s">
        <v>32</v>
      </c>
      <c r="K59">
        <v>2</v>
      </c>
      <c r="L59">
        <v>8000</v>
      </c>
      <c r="M59">
        <v>0</v>
      </c>
      <c r="N59">
        <v>16000</v>
      </c>
      <c r="O59">
        <v>9000</v>
      </c>
      <c r="P59">
        <v>7000</v>
      </c>
      <c r="Q59" t="s">
        <v>64</v>
      </c>
      <c r="R59" t="s">
        <v>27</v>
      </c>
    </row>
    <row r="60" spans="1:18" x14ac:dyDescent="0.2">
      <c r="A60" t="s">
        <v>128</v>
      </c>
      <c r="B60" s="1">
        <v>45764</v>
      </c>
      <c r="C60" t="s">
        <v>40</v>
      </c>
      <c r="D60" t="s">
        <v>41</v>
      </c>
      <c r="E60">
        <v>29</v>
      </c>
      <c r="F60" t="s">
        <v>21</v>
      </c>
      <c r="G60" t="s">
        <v>43</v>
      </c>
      <c r="H60" t="s">
        <v>60</v>
      </c>
      <c r="I60" t="s">
        <v>71</v>
      </c>
      <c r="J60" t="s">
        <v>25</v>
      </c>
      <c r="K60">
        <v>1</v>
      </c>
      <c r="L60">
        <v>15000</v>
      </c>
      <c r="M60">
        <v>15</v>
      </c>
      <c r="N60">
        <v>12750</v>
      </c>
      <c r="O60">
        <v>9000</v>
      </c>
      <c r="P60">
        <v>3750</v>
      </c>
      <c r="Q60" t="s">
        <v>26</v>
      </c>
      <c r="R60" t="s">
        <v>38</v>
      </c>
    </row>
    <row r="61" spans="1:18" x14ac:dyDescent="0.2">
      <c r="A61" t="s">
        <v>129</v>
      </c>
      <c r="B61" s="1">
        <v>45958</v>
      </c>
      <c r="C61" t="s">
        <v>89</v>
      </c>
      <c r="D61" t="s">
        <v>41</v>
      </c>
      <c r="E61">
        <v>43</v>
      </c>
      <c r="F61" t="s">
        <v>49</v>
      </c>
      <c r="G61" t="s">
        <v>36</v>
      </c>
      <c r="H61" t="s">
        <v>76</v>
      </c>
      <c r="I61" t="s">
        <v>24</v>
      </c>
      <c r="J61" t="s">
        <v>46</v>
      </c>
      <c r="K61">
        <v>3</v>
      </c>
      <c r="L61">
        <v>10000</v>
      </c>
      <c r="M61">
        <v>10</v>
      </c>
      <c r="N61">
        <v>27000</v>
      </c>
      <c r="O61">
        <v>18000</v>
      </c>
      <c r="P61">
        <v>9000</v>
      </c>
      <c r="Q61" t="s">
        <v>26</v>
      </c>
      <c r="R61" t="s">
        <v>27</v>
      </c>
    </row>
    <row r="62" spans="1:18" x14ac:dyDescent="0.2">
      <c r="A62" t="s">
        <v>130</v>
      </c>
      <c r="B62" s="1">
        <v>45809</v>
      </c>
      <c r="C62" t="s">
        <v>19</v>
      </c>
      <c r="D62" t="s">
        <v>41</v>
      </c>
      <c r="E62">
        <v>31</v>
      </c>
      <c r="F62" t="s">
        <v>42</v>
      </c>
      <c r="G62" t="s">
        <v>69</v>
      </c>
      <c r="H62" t="s">
        <v>82</v>
      </c>
      <c r="I62" t="s">
        <v>71</v>
      </c>
      <c r="J62" t="s">
        <v>52</v>
      </c>
      <c r="K62">
        <v>3</v>
      </c>
      <c r="L62">
        <v>25000</v>
      </c>
      <c r="M62">
        <v>10</v>
      </c>
      <c r="N62">
        <v>67500</v>
      </c>
      <c r="O62">
        <v>51000</v>
      </c>
      <c r="P62">
        <v>16500</v>
      </c>
      <c r="Q62" t="s">
        <v>64</v>
      </c>
      <c r="R62" t="s">
        <v>33</v>
      </c>
    </row>
    <row r="63" spans="1:18" x14ac:dyDescent="0.2">
      <c r="A63" t="s">
        <v>131</v>
      </c>
      <c r="B63" s="1">
        <v>45933</v>
      </c>
      <c r="C63" t="s">
        <v>62</v>
      </c>
      <c r="D63" t="s">
        <v>41</v>
      </c>
      <c r="E63">
        <v>18</v>
      </c>
      <c r="F63" t="s">
        <v>30</v>
      </c>
      <c r="G63" t="s">
        <v>69</v>
      </c>
      <c r="H63" t="s">
        <v>82</v>
      </c>
      <c r="I63" t="s">
        <v>24</v>
      </c>
      <c r="J63" t="s">
        <v>25</v>
      </c>
      <c r="K63">
        <v>2</v>
      </c>
      <c r="L63">
        <v>25000</v>
      </c>
      <c r="M63">
        <v>0</v>
      </c>
      <c r="N63">
        <v>50000</v>
      </c>
      <c r="O63">
        <v>34000</v>
      </c>
      <c r="P63">
        <v>16000</v>
      </c>
      <c r="Q63" t="s">
        <v>26</v>
      </c>
      <c r="R63" t="s">
        <v>38</v>
      </c>
    </row>
    <row r="64" spans="1:18" x14ac:dyDescent="0.2">
      <c r="A64" t="s">
        <v>132</v>
      </c>
      <c r="B64" s="1">
        <v>45871</v>
      </c>
      <c r="C64" t="s">
        <v>86</v>
      </c>
      <c r="D64" t="s">
        <v>20</v>
      </c>
      <c r="E64">
        <v>52</v>
      </c>
      <c r="F64" t="s">
        <v>30</v>
      </c>
      <c r="G64" t="s">
        <v>50</v>
      </c>
      <c r="H64" t="s">
        <v>51</v>
      </c>
      <c r="I64" t="s">
        <v>45</v>
      </c>
      <c r="J64" t="s">
        <v>66</v>
      </c>
      <c r="K64">
        <v>2</v>
      </c>
      <c r="L64">
        <v>16000</v>
      </c>
      <c r="M64">
        <v>0</v>
      </c>
      <c r="N64">
        <v>32000</v>
      </c>
      <c r="O64">
        <v>20000</v>
      </c>
      <c r="P64">
        <v>12000</v>
      </c>
      <c r="Q64" t="s">
        <v>64</v>
      </c>
      <c r="R64" t="s">
        <v>27</v>
      </c>
    </row>
    <row r="65" spans="1:18" x14ac:dyDescent="0.2">
      <c r="A65" t="s">
        <v>133</v>
      </c>
      <c r="B65" s="1">
        <v>45894</v>
      </c>
      <c r="C65" t="s">
        <v>35</v>
      </c>
      <c r="D65" t="s">
        <v>20</v>
      </c>
      <c r="E65">
        <v>41</v>
      </c>
      <c r="F65" t="s">
        <v>30</v>
      </c>
      <c r="G65" t="s">
        <v>69</v>
      </c>
      <c r="H65" t="s">
        <v>82</v>
      </c>
      <c r="I65" t="s">
        <v>31</v>
      </c>
      <c r="J65" t="s">
        <v>32</v>
      </c>
      <c r="K65">
        <v>3</v>
      </c>
      <c r="L65">
        <v>25000</v>
      </c>
      <c r="M65">
        <v>0</v>
      </c>
      <c r="N65">
        <v>75000</v>
      </c>
      <c r="O65">
        <v>51000</v>
      </c>
      <c r="P65">
        <v>24000</v>
      </c>
      <c r="Q65" t="s">
        <v>64</v>
      </c>
      <c r="R65" t="s">
        <v>58</v>
      </c>
    </row>
    <row r="66" spans="1:18" x14ac:dyDescent="0.2">
      <c r="A66" t="s">
        <v>134</v>
      </c>
      <c r="B66" s="1">
        <v>46008</v>
      </c>
      <c r="C66" t="s">
        <v>40</v>
      </c>
      <c r="D66" t="s">
        <v>41</v>
      </c>
      <c r="E66">
        <v>27</v>
      </c>
      <c r="F66" t="s">
        <v>21</v>
      </c>
      <c r="G66" t="s">
        <v>22</v>
      </c>
      <c r="H66" t="s">
        <v>23</v>
      </c>
      <c r="I66" t="s">
        <v>31</v>
      </c>
      <c r="J66" t="s">
        <v>46</v>
      </c>
      <c r="K66">
        <v>3</v>
      </c>
      <c r="L66">
        <v>15000</v>
      </c>
      <c r="M66">
        <v>15</v>
      </c>
      <c r="N66">
        <v>38250</v>
      </c>
      <c r="O66">
        <v>27000</v>
      </c>
      <c r="P66">
        <v>11250</v>
      </c>
      <c r="Q66" t="s">
        <v>64</v>
      </c>
      <c r="R66" t="s">
        <v>38</v>
      </c>
    </row>
    <row r="67" spans="1:18" x14ac:dyDescent="0.2">
      <c r="A67" t="s">
        <v>135</v>
      </c>
      <c r="B67" s="1">
        <v>45827</v>
      </c>
      <c r="C67" t="s">
        <v>62</v>
      </c>
      <c r="D67" t="s">
        <v>20</v>
      </c>
      <c r="E67">
        <v>20</v>
      </c>
      <c r="F67" t="s">
        <v>49</v>
      </c>
      <c r="G67" t="s">
        <v>22</v>
      </c>
      <c r="H67" t="s">
        <v>23</v>
      </c>
      <c r="I67" t="s">
        <v>71</v>
      </c>
      <c r="J67" t="s">
        <v>52</v>
      </c>
      <c r="K67">
        <v>1</v>
      </c>
      <c r="L67">
        <v>15000</v>
      </c>
      <c r="M67">
        <v>0</v>
      </c>
      <c r="N67">
        <v>15000</v>
      </c>
      <c r="O67">
        <v>9000</v>
      </c>
      <c r="P67">
        <v>6000</v>
      </c>
      <c r="Q67" t="s">
        <v>47</v>
      </c>
      <c r="R67" t="s">
        <v>27</v>
      </c>
    </row>
    <row r="68" spans="1:18" x14ac:dyDescent="0.2">
      <c r="A68" t="s">
        <v>136</v>
      </c>
      <c r="B68" s="1">
        <v>45815</v>
      </c>
      <c r="C68" t="s">
        <v>29</v>
      </c>
      <c r="D68" t="s">
        <v>41</v>
      </c>
      <c r="E68">
        <v>49</v>
      </c>
      <c r="F68" t="s">
        <v>68</v>
      </c>
      <c r="G68" t="s">
        <v>43</v>
      </c>
      <c r="H68" t="s">
        <v>60</v>
      </c>
      <c r="I68" t="s">
        <v>45</v>
      </c>
      <c r="J68" t="s">
        <v>52</v>
      </c>
      <c r="K68">
        <v>2</v>
      </c>
      <c r="L68">
        <v>15000</v>
      </c>
      <c r="M68">
        <v>10</v>
      </c>
      <c r="N68">
        <v>27000</v>
      </c>
      <c r="O68">
        <v>18000</v>
      </c>
      <c r="P68">
        <v>9000</v>
      </c>
      <c r="Q68" t="s">
        <v>47</v>
      </c>
      <c r="R68" t="s">
        <v>33</v>
      </c>
    </row>
    <row r="69" spans="1:18" x14ac:dyDescent="0.2">
      <c r="A69" t="s">
        <v>137</v>
      </c>
      <c r="B69" s="1">
        <v>45969</v>
      </c>
      <c r="C69" t="s">
        <v>73</v>
      </c>
      <c r="D69" t="s">
        <v>20</v>
      </c>
      <c r="E69">
        <v>47</v>
      </c>
      <c r="F69" t="s">
        <v>21</v>
      </c>
      <c r="G69" t="s">
        <v>22</v>
      </c>
      <c r="H69" t="s">
        <v>23</v>
      </c>
      <c r="I69" t="s">
        <v>24</v>
      </c>
      <c r="J69" t="s">
        <v>46</v>
      </c>
      <c r="K69">
        <v>3</v>
      </c>
      <c r="L69">
        <v>15000</v>
      </c>
      <c r="M69">
        <v>0</v>
      </c>
      <c r="N69">
        <v>45000</v>
      </c>
      <c r="O69">
        <v>27000</v>
      </c>
      <c r="P69">
        <v>18000</v>
      </c>
      <c r="Q69" t="s">
        <v>64</v>
      </c>
      <c r="R69" t="s">
        <v>38</v>
      </c>
    </row>
    <row r="70" spans="1:18" x14ac:dyDescent="0.2">
      <c r="A70" t="s">
        <v>138</v>
      </c>
      <c r="B70" s="1">
        <v>45755</v>
      </c>
      <c r="C70" t="s">
        <v>54</v>
      </c>
      <c r="D70" t="s">
        <v>41</v>
      </c>
      <c r="E70">
        <v>26</v>
      </c>
      <c r="F70" t="s">
        <v>42</v>
      </c>
      <c r="G70" t="s">
        <v>69</v>
      </c>
      <c r="H70" t="s">
        <v>82</v>
      </c>
      <c r="I70" t="s">
        <v>71</v>
      </c>
      <c r="J70" t="s">
        <v>32</v>
      </c>
      <c r="K70">
        <v>4</v>
      </c>
      <c r="L70">
        <v>25000</v>
      </c>
      <c r="M70">
        <v>15</v>
      </c>
      <c r="N70">
        <v>85000</v>
      </c>
      <c r="O70">
        <v>68000</v>
      </c>
      <c r="P70">
        <v>17000</v>
      </c>
      <c r="Q70" t="s">
        <v>64</v>
      </c>
      <c r="R70" t="s">
        <v>33</v>
      </c>
    </row>
    <row r="71" spans="1:18" x14ac:dyDescent="0.2">
      <c r="A71" t="s">
        <v>139</v>
      </c>
      <c r="B71" s="1">
        <v>45830</v>
      </c>
      <c r="C71" t="s">
        <v>35</v>
      </c>
      <c r="D71" t="s">
        <v>41</v>
      </c>
      <c r="E71">
        <v>29</v>
      </c>
      <c r="F71" t="s">
        <v>68</v>
      </c>
      <c r="G71" t="s">
        <v>69</v>
      </c>
      <c r="H71" t="s">
        <v>70</v>
      </c>
      <c r="I71" t="s">
        <v>71</v>
      </c>
      <c r="J71" t="s">
        <v>46</v>
      </c>
      <c r="K71">
        <v>1</v>
      </c>
      <c r="L71">
        <v>22000</v>
      </c>
      <c r="M71">
        <v>0</v>
      </c>
      <c r="N71">
        <v>22000</v>
      </c>
      <c r="O71">
        <v>14000</v>
      </c>
      <c r="P71">
        <v>8000</v>
      </c>
      <c r="Q71" t="s">
        <v>26</v>
      </c>
      <c r="R71" t="s">
        <v>33</v>
      </c>
    </row>
    <row r="72" spans="1:18" x14ac:dyDescent="0.2">
      <c r="A72" t="s">
        <v>140</v>
      </c>
      <c r="B72" s="1">
        <v>45845</v>
      </c>
      <c r="C72" t="s">
        <v>89</v>
      </c>
      <c r="D72" t="s">
        <v>41</v>
      </c>
      <c r="E72">
        <v>28</v>
      </c>
      <c r="F72" t="s">
        <v>68</v>
      </c>
      <c r="G72" t="s">
        <v>50</v>
      </c>
      <c r="H72" t="s">
        <v>57</v>
      </c>
      <c r="I72" t="s">
        <v>31</v>
      </c>
      <c r="J72" t="s">
        <v>95</v>
      </c>
      <c r="K72">
        <v>2</v>
      </c>
      <c r="L72">
        <v>14000</v>
      </c>
      <c r="M72">
        <v>15</v>
      </c>
      <c r="N72">
        <v>23800</v>
      </c>
      <c r="O72">
        <v>17000</v>
      </c>
      <c r="P72">
        <v>6800</v>
      </c>
      <c r="Q72" t="s">
        <v>47</v>
      </c>
      <c r="R72" t="s">
        <v>27</v>
      </c>
    </row>
    <row r="73" spans="1:18" x14ac:dyDescent="0.2">
      <c r="A73" t="s">
        <v>141</v>
      </c>
      <c r="B73" s="1">
        <v>45836</v>
      </c>
      <c r="C73" t="s">
        <v>81</v>
      </c>
      <c r="D73" t="s">
        <v>20</v>
      </c>
      <c r="E73">
        <v>25</v>
      </c>
      <c r="F73" t="s">
        <v>42</v>
      </c>
      <c r="G73" t="s">
        <v>69</v>
      </c>
      <c r="H73" t="s">
        <v>70</v>
      </c>
      <c r="I73" t="s">
        <v>71</v>
      </c>
      <c r="J73" t="s">
        <v>66</v>
      </c>
      <c r="K73">
        <v>3</v>
      </c>
      <c r="L73">
        <v>22000</v>
      </c>
      <c r="M73">
        <v>15</v>
      </c>
      <c r="N73">
        <v>56100</v>
      </c>
      <c r="O73">
        <v>42000</v>
      </c>
      <c r="P73">
        <v>14100</v>
      </c>
      <c r="Q73" t="s">
        <v>47</v>
      </c>
      <c r="R73" t="s">
        <v>38</v>
      </c>
    </row>
    <row r="74" spans="1:18" x14ac:dyDescent="0.2">
      <c r="A74" t="s">
        <v>142</v>
      </c>
      <c r="B74" s="1">
        <v>45764</v>
      </c>
      <c r="C74" t="s">
        <v>78</v>
      </c>
      <c r="D74" t="s">
        <v>20</v>
      </c>
      <c r="E74">
        <v>28</v>
      </c>
      <c r="F74" t="s">
        <v>68</v>
      </c>
      <c r="G74" t="s">
        <v>69</v>
      </c>
      <c r="H74" t="s">
        <v>82</v>
      </c>
      <c r="I74" t="s">
        <v>45</v>
      </c>
      <c r="J74" t="s">
        <v>46</v>
      </c>
      <c r="K74">
        <v>3</v>
      </c>
      <c r="L74">
        <v>25000</v>
      </c>
      <c r="M74">
        <v>0</v>
      </c>
      <c r="N74">
        <v>75000</v>
      </c>
      <c r="O74">
        <v>51000</v>
      </c>
      <c r="P74">
        <v>24000</v>
      </c>
      <c r="Q74" t="s">
        <v>26</v>
      </c>
      <c r="R74" t="s">
        <v>58</v>
      </c>
    </row>
    <row r="75" spans="1:18" x14ac:dyDescent="0.2">
      <c r="A75" t="s">
        <v>143</v>
      </c>
      <c r="B75" s="1">
        <v>45834</v>
      </c>
      <c r="C75" t="s">
        <v>40</v>
      </c>
      <c r="D75" t="s">
        <v>20</v>
      </c>
      <c r="E75">
        <v>48</v>
      </c>
      <c r="F75" t="s">
        <v>49</v>
      </c>
      <c r="G75" t="s">
        <v>50</v>
      </c>
      <c r="H75" t="s">
        <v>51</v>
      </c>
      <c r="I75" t="s">
        <v>24</v>
      </c>
      <c r="J75" t="s">
        <v>25</v>
      </c>
      <c r="K75">
        <v>1</v>
      </c>
      <c r="L75">
        <v>16000</v>
      </c>
      <c r="M75">
        <v>0</v>
      </c>
      <c r="N75">
        <v>16000</v>
      </c>
      <c r="O75">
        <v>10000</v>
      </c>
      <c r="P75">
        <v>6000</v>
      </c>
      <c r="Q75" t="s">
        <v>64</v>
      </c>
      <c r="R75" t="s">
        <v>38</v>
      </c>
    </row>
    <row r="76" spans="1:18" x14ac:dyDescent="0.2">
      <c r="A76" t="s">
        <v>144</v>
      </c>
      <c r="B76" s="1">
        <v>45876</v>
      </c>
      <c r="C76" t="s">
        <v>35</v>
      </c>
      <c r="D76" t="s">
        <v>41</v>
      </c>
      <c r="E76">
        <v>32</v>
      </c>
      <c r="F76" t="s">
        <v>68</v>
      </c>
      <c r="G76" t="s">
        <v>22</v>
      </c>
      <c r="H76" t="s">
        <v>74</v>
      </c>
      <c r="I76" t="s">
        <v>24</v>
      </c>
      <c r="J76" t="s">
        <v>46</v>
      </c>
      <c r="K76">
        <v>3</v>
      </c>
      <c r="L76">
        <v>18000</v>
      </c>
      <c r="M76">
        <v>0</v>
      </c>
      <c r="N76">
        <v>54000</v>
      </c>
      <c r="O76">
        <v>33000</v>
      </c>
      <c r="P76">
        <v>21000</v>
      </c>
      <c r="Q76" t="s">
        <v>26</v>
      </c>
      <c r="R76" t="s">
        <v>27</v>
      </c>
    </row>
    <row r="77" spans="1:18" x14ac:dyDescent="0.2">
      <c r="A77" t="s">
        <v>145</v>
      </c>
      <c r="B77" s="1">
        <v>45785</v>
      </c>
      <c r="C77" t="s">
        <v>91</v>
      </c>
      <c r="D77" t="s">
        <v>41</v>
      </c>
      <c r="E77">
        <v>45</v>
      </c>
      <c r="F77" t="s">
        <v>42</v>
      </c>
      <c r="G77" t="s">
        <v>43</v>
      </c>
      <c r="H77" t="s">
        <v>44</v>
      </c>
      <c r="I77" t="s">
        <v>71</v>
      </c>
      <c r="J77" t="s">
        <v>95</v>
      </c>
      <c r="K77">
        <v>3</v>
      </c>
      <c r="L77">
        <v>20000</v>
      </c>
      <c r="M77">
        <v>5</v>
      </c>
      <c r="N77">
        <v>57000</v>
      </c>
      <c r="O77">
        <v>36000</v>
      </c>
      <c r="P77">
        <v>21000</v>
      </c>
      <c r="Q77" t="s">
        <v>47</v>
      </c>
      <c r="R77" t="s">
        <v>33</v>
      </c>
    </row>
    <row r="78" spans="1:18" x14ac:dyDescent="0.2">
      <c r="A78" t="s">
        <v>146</v>
      </c>
      <c r="B78" s="1">
        <v>45742</v>
      </c>
      <c r="C78" t="s">
        <v>56</v>
      </c>
      <c r="D78" t="s">
        <v>20</v>
      </c>
      <c r="E78">
        <v>47</v>
      </c>
      <c r="F78" t="s">
        <v>30</v>
      </c>
      <c r="G78" t="s">
        <v>36</v>
      </c>
      <c r="H78" t="s">
        <v>37</v>
      </c>
      <c r="I78" t="s">
        <v>31</v>
      </c>
      <c r="J78" t="s">
        <v>46</v>
      </c>
      <c r="K78">
        <v>4</v>
      </c>
      <c r="L78">
        <v>8000</v>
      </c>
      <c r="M78">
        <v>5</v>
      </c>
      <c r="N78">
        <v>30400</v>
      </c>
      <c r="O78">
        <v>18000</v>
      </c>
      <c r="P78">
        <v>12400</v>
      </c>
      <c r="Q78" t="s">
        <v>26</v>
      </c>
      <c r="R78" t="s">
        <v>38</v>
      </c>
    </row>
    <row r="79" spans="1:18" x14ac:dyDescent="0.2">
      <c r="A79" t="s">
        <v>147</v>
      </c>
      <c r="B79" s="1">
        <v>46014</v>
      </c>
      <c r="C79" t="s">
        <v>29</v>
      </c>
      <c r="D79" t="s">
        <v>20</v>
      </c>
      <c r="E79">
        <v>50</v>
      </c>
      <c r="F79" t="s">
        <v>30</v>
      </c>
      <c r="G79" t="s">
        <v>50</v>
      </c>
      <c r="H79" t="s">
        <v>57</v>
      </c>
      <c r="I79" t="s">
        <v>24</v>
      </c>
      <c r="J79" t="s">
        <v>32</v>
      </c>
      <c r="K79">
        <v>3</v>
      </c>
      <c r="L79">
        <v>14000</v>
      </c>
      <c r="M79">
        <v>0</v>
      </c>
      <c r="N79">
        <v>42000</v>
      </c>
      <c r="O79">
        <v>25500</v>
      </c>
      <c r="P79">
        <v>16500</v>
      </c>
      <c r="Q79" t="s">
        <v>26</v>
      </c>
      <c r="R79" t="s">
        <v>27</v>
      </c>
    </row>
    <row r="80" spans="1:18" x14ac:dyDescent="0.2">
      <c r="A80" t="s">
        <v>148</v>
      </c>
      <c r="B80" s="1">
        <v>45773</v>
      </c>
      <c r="C80" t="s">
        <v>40</v>
      </c>
      <c r="D80" t="s">
        <v>20</v>
      </c>
      <c r="E80">
        <v>34</v>
      </c>
      <c r="F80" t="s">
        <v>68</v>
      </c>
      <c r="G80" t="s">
        <v>43</v>
      </c>
      <c r="H80" t="s">
        <v>60</v>
      </c>
      <c r="I80" t="s">
        <v>31</v>
      </c>
      <c r="J80" t="s">
        <v>25</v>
      </c>
      <c r="K80">
        <v>2</v>
      </c>
      <c r="L80">
        <v>15000</v>
      </c>
      <c r="M80">
        <v>0</v>
      </c>
      <c r="N80">
        <v>30000</v>
      </c>
      <c r="O80">
        <v>18000</v>
      </c>
      <c r="P80">
        <v>12000</v>
      </c>
      <c r="Q80" t="s">
        <v>26</v>
      </c>
      <c r="R80" t="s">
        <v>27</v>
      </c>
    </row>
    <row r="81" spans="1:18" x14ac:dyDescent="0.2">
      <c r="A81" t="s">
        <v>149</v>
      </c>
      <c r="B81" s="1">
        <v>45872</v>
      </c>
      <c r="C81" t="s">
        <v>78</v>
      </c>
      <c r="D81" t="s">
        <v>20</v>
      </c>
      <c r="E81">
        <v>44</v>
      </c>
      <c r="F81" t="s">
        <v>49</v>
      </c>
      <c r="G81" t="s">
        <v>22</v>
      </c>
      <c r="H81" t="s">
        <v>74</v>
      </c>
      <c r="I81" t="s">
        <v>45</v>
      </c>
      <c r="J81" t="s">
        <v>32</v>
      </c>
      <c r="K81">
        <v>2</v>
      </c>
      <c r="L81">
        <v>18000</v>
      </c>
      <c r="M81">
        <v>15</v>
      </c>
      <c r="N81">
        <v>30600</v>
      </c>
      <c r="O81">
        <v>22000</v>
      </c>
      <c r="P81">
        <v>8600</v>
      </c>
      <c r="Q81" t="s">
        <v>47</v>
      </c>
      <c r="R81" t="s">
        <v>58</v>
      </c>
    </row>
    <row r="82" spans="1:18" x14ac:dyDescent="0.2">
      <c r="A82" t="s">
        <v>150</v>
      </c>
      <c r="B82" s="1">
        <v>45727</v>
      </c>
      <c r="C82" t="s">
        <v>56</v>
      </c>
      <c r="D82" t="s">
        <v>20</v>
      </c>
      <c r="E82">
        <v>48</v>
      </c>
      <c r="F82" t="s">
        <v>42</v>
      </c>
      <c r="G82" t="s">
        <v>69</v>
      </c>
      <c r="H82" t="s">
        <v>70</v>
      </c>
      <c r="I82" t="s">
        <v>71</v>
      </c>
      <c r="J82" t="s">
        <v>25</v>
      </c>
      <c r="K82">
        <v>4</v>
      </c>
      <c r="L82">
        <v>22000</v>
      </c>
      <c r="M82">
        <v>5</v>
      </c>
      <c r="N82">
        <v>83600</v>
      </c>
      <c r="O82">
        <v>56000</v>
      </c>
      <c r="P82">
        <v>27600</v>
      </c>
      <c r="Q82" t="s">
        <v>26</v>
      </c>
      <c r="R82" t="s">
        <v>58</v>
      </c>
    </row>
    <row r="83" spans="1:18" x14ac:dyDescent="0.2">
      <c r="A83" t="s">
        <v>151</v>
      </c>
      <c r="B83" s="1">
        <v>45912</v>
      </c>
      <c r="C83" t="s">
        <v>81</v>
      </c>
      <c r="D83" t="s">
        <v>20</v>
      </c>
      <c r="E83">
        <v>54</v>
      </c>
      <c r="F83" t="s">
        <v>42</v>
      </c>
      <c r="G83" t="s">
        <v>36</v>
      </c>
      <c r="H83" t="s">
        <v>37</v>
      </c>
      <c r="I83" t="s">
        <v>71</v>
      </c>
      <c r="J83" t="s">
        <v>25</v>
      </c>
      <c r="K83">
        <v>2</v>
      </c>
      <c r="L83">
        <v>8000</v>
      </c>
      <c r="M83">
        <v>5</v>
      </c>
      <c r="N83">
        <v>15200</v>
      </c>
      <c r="O83">
        <v>9000</v>
      </c>
      <c r="P83">
        <v>6200</v>
      </c>
      <c r="Q83" t="s">
        <v>64</v>
      </c>
      <c r="R83" t="s">
        <v>33</v>
      </c>
    </row>
    <row r="84" spans="1:18" x14ac:dyDescent="0.2">
      <c r="A84" t="s">
        <v>152</v>
      </c>
      <c r="B84" s="1">
        <v>45881</v>
      </c>
      <c r="C84" t="s">
        <v>86</v>
      </c>
      <c r="D84" t="s">
        <v>20</v>
      </c>
      <c r="E84">
        <v>38</v>
      </c>
      <c r="F84" t="s">
        <v>68</v>
      </c>
      <c r="G84" t="s">
        <v>69</v>
      </c>
      <c r="H84" t="s">
        <v>70</v>
      </c>
      <c r="I84" t="s">
        <v>24</v>
      </c>
      <c r="J84" t="s">
        <v>32</v>
      </c>
      <c r="K84">
        <v>1</v>
      </c>
      <c r="L84">
        <v>22000</v>
      </c>
      <c r="M84">
        <v>5</v>
      </c>
      <c r="N84">
        <v>20900</v>
      </c>
      <c r="O84">
        <v>14000</v>
      </c>
      <c r="P84">
        <v>6900</v>
      </c>
      <c r="Q84" t="s">
        <v>64</v>
      </c>
      <c r="R84" t="s">
        <v>38</v>
      </c>
    </row>
    <row r="85" spans="1:18" x14ac:dyDescent="0.2">
      <c r="A85" t="s">
        <v>153</v>
      </c>
      <c r="B85" s="1">
        <v>45714</v>
      </c>
      <c r="C85" t="s">
        <v>29</v>
      </c>
      <c r="D85" t="s">
        <v>41</v>
      </c>
      <c r="E85">
        <v>34</v>
      </c>
      <c r="F85" t="s">
        <v>30</v>
      </c>
      <c r="G85" t="s">
        <v>36</v>
      </c>
      <c r="H85" t="s">
        <v>37</v>
      </c>
      <c r="I85" t="s">
        <v>24</v>
      </c>
      <c r="J85" t="s">
        <v>25</v>
      </c>
      <c r="K85">
        <v>1</v>
      </c>
      <c r="L85">
        <v>8000</v>
      </c>
      <c r="M85">
        <v>10</v>
      </c>
      <c r="N85">
        <v>7200</v>
      </c>
      <c r="O85">
        <v>4500</v>
      </c>
      <c r="P85">
        <v>2700</v>
      </c>
      <c r="Q85" t="s">
        <v>64</v>
      </c>
      <c r="R85" t="s">
        <v>33</v>
      </c>
    </row>
    <row r="86" spans="1:18" x14ac:dyDescent="0.2">
      <c r="A86" t="s">
        <v>154</v>
      </c>
      <c r="B86" s="1">
        <v>45752</v>
      </c>
      <c r="C86" t="s">
        <v>86</v>
      </c>
      <c r="D86" t="s">
        <v>41</v>
      </c>
      <c r="E86">
        <v>18</v>
      </c>
      <c r="F86" t="s">
        <v>68</v>
      </c>
      <c r="G86" t="s">
        <v>36</v>
      </c>
      <c r="H86" t="s">
        <v>37</v>
      </c>
      <c r="I86" t="s">
        <v>24</v>
      </c>
      <c r="J86" t="s">
        <v>66</v>
      </c>
      <c r="K86">
        <v>3</v>
      </c>
      <c r="L86">
        <v>8000</v>
      </c>
      <c r="M86">
        <v>15</v>
      </c>
      <c r="N86">
        <v>20400</v>
      </c>
      <c r="O86">
        <v>13500</v>
      </c>
      <c r="P86">
        <v>6900</v>
      </c>
      <c r="Q86" t="s">
        <v>64</v>
      </c>
      <c r="R86" t="s">
        <v>58</v>
      </c>
    </row>
    <row r="87" spans="1:18" x14ac:dyDescent="0.2">
      <c r="A87" t="s">
        <v>155</v>
      </c>
      <c r="B87" s="1">
        <v>46010</v>
      </c>
      <c r="C87" t="s">
        <v>29</v>
      </c>
      <c r="D87" t="s">
        <v>20</v>
      </c>
      <c r="E87">
        <v>42</v>
      </c>
      <c r="F87" t="s">
        <v>21</v>
      </c>
      <c r="G87" t="s">
        <v>22</v>
      </c>
      <c r="H87" t="s">
        <v>74</v>
      </c>
      <c r="I87" t="s">
        <v>31</v>
      </c>
      <c r="J87" t="s">
        <v>32</v>
      </c>
      <c r="K87">
        <v>3</v>
      </c>
      <c r="L87">
        <v>18000</v>
      </c>
      <c r="M87">
        <v>10</v>
      </c>
      <c r="N87">
        <v>48600</v>
      </c>
      <c r="O87">
        <v>33000</v>
      </c>
      <c r="P87">
        <v>15600</v>
      </c>
      <c r="Q87" t="s">
        <v>26</v>
      </c>
      <c r="R87" t="s">
        <v>58</v>
      </c>
    </row>
    <row r="88" spans="1:18" x14ac:dyDescent="0.2">
      <c r="A88" t="s">
        <v>156</v>
      </c>
      <c r="B88" s="1">
        <v>45879</v>
      </c>
      <c r="C88" t="s">
        <v>81</v>
      </c>
      <c r="D88" t="s">
        <v>41</v>
      </c>
      <c r="E88">
        <v>18</v>
      </c>
      <c r="F88" t="s">
        <v>30</v>
      </c>
      <c r="G88" t="s">
        <v>22</v>
      </c>
      <c r="H88" t="s">
        <v>74</v>
      </c>
      <c r="I88" t="s">
        <v>24</v>
      </c>
      <c r="J88" t="s">
        <v>25</v>
      </c>
      <c r="K88">
        <v>1</v>
      </c>
      <c r="L88">
        <v>18000</v>
      </c>
      <c r="M88">
        <v>0</v>
      </c>
      <c r="N88">
        <v>18000</v>
      </c>
      <c r="O88">
        <v>11000</v>
      </c>
      <c r="P88">
        <v>7000</v>
      </c>
      <c r="Q88" t="s">
        <v>47</v>
      </c>
      <c r="R88" t="s">
        <v>27</v>
      </c>
    </row>
    <row r="89" spans="1:18" x14ac:dyDescent="0.2">
      <c r="A89" t="s">
        <v>157</v>
      </c>
      <c r="B89" s="1">
        <v>46014</v>
      </c>
      <c r="C89" t="s">
        <v>91</v>
      </c>
      <c r="D89" t="s">
        <v>41</v>
      </c>
      <c r="E89">
        <v>52</v>
      </c>
      <c r="F89" t="s">
        <v>49</v>
      </c>
      <c r="G89" t="s">
        <v>36</v>
      </c>
      <c r="H89" t="s">
        <v>37</v>
      </c>
      <c r="I89" t="s">
        <v>31</v>
      </c>
      <c r="J89" t="s">
        <v>52</v>
      </c>
      <c r="K89">
        <v>1</v>
      </c>
      <c r="L89">
        <v>8000</v>
      </c>
      <c r="M89">
        <v>5</v>
      </c>
      <c r="N89">
        <v>7600</v>
      </c>
      <c r="O89">
        <v>4500</v>
      </c>
      <c r="P89">
        <v>3100</v>
      </c>
      <c r="Q89" t="s">
        <v>64</v>
      </c>
      <c r="R89" t="s">
        <v>33</v>
      </c>
    </row>
    <row r="90" spans="1:18" x14ac:dyDescent="0.2">
      <c r="A90" t="s">
        <v>158</v>
      </c>
      <c r="B90" s="1">
        <v>45792</v>
      </c>
      <c r="C90" t="s">
        <v>81</v>
      </c>
      <c r="D90" t="s">
        <v>41</v>
      </c>
      <c r="E90">
        <v>21</v>
      </c>
      <c r="F90" t="s">
        <v>30</v>
      </c>
      <c r="G90" t="s">
        <v>50</v>
      </c>
      <c r="H90" t="s">
        <v>57</v>
      </c>
      <c r="I90" t="s">
        <v>45</v>
      </c>
      <c r="J90" t="s">
        <v>52</v>
      </c>
      <c r="K90">
        <v>2</v>
      </c>
      <c r="L90">
        <v>14000</v>
      </c>
      <c r="M90">
        <v>15</v>
      </c>
      <c r="N90">
        <v>23800</v>
      </c>
      <c r="O90">
        <v>17000</v>
      </c>
      <c r="P90">
        <v>6800</v>
      </c>
      <c r="Q90" t="s">
        <v>26</v>
      </c>
      <c r="R90" t="s">
        <v>33</v>
      </c>
    </row>
    <row r="91" spans="1:18" x14ac:dyDescent="0.2">
      <c r="A91" t="s">
        <v>159</v>
      </c>
      <c r="B91" s="1">
        <v>45768</v>
      </c>
      <c r="C91" t="s">
        <v>78</v>
      </c>
      <c r="D91" t="s">
        <v>41</v>
      </c>
      <c r="E91">
        <v>44</v>
      </c>
      <c r="F91" t="s">
        <v>49</v>
      </c>
      <c r="G91" t="s">
        <v>36</v>
      </c>
      <c r="H91" t="s">
        <v>76</v>
      </c>
      <c r="I91" t="s">
        <v>31</v>
      </c>
      <c r="J91" t="s">
        <v>95</v>
      </c>
      <c r="K91">
        <v>4</v>
      </c>
      <c r="L91">
        <v>10000</v>
      </c>
      <c r="M91">
        <v>5</v>
      </c>
      <c r="N91">
        <v>38000</v>
      </c>
      <c r="O91">
        <v>24000</v>
      </c>
      <c r="P91">
        <v>14000</v>
      </c>
      <c r="Q91" t="s">
        <v>47</v>
      </c>
      <c r="R91" t="s">
        <v>38</v>
      </c>
    </row>
    <row r="92" spans="1:18" x14ac:dyDescent="0.2">
      <c r="A92" t="s">
        <v>160</v>
      </c>
      <c r="B92" s="1">
        <v>45666</v>
      </c>
      <c r="C92" t="s">
        <v>86</v>
      </c>
      <c r="D92" t="s">
        <v>20</v>
      </c>
      <c r="E92">
        <v>52</v>
      </c>
      <c r="F92" t="s">
        <v>49</v>
      </c>
      <c r="G92" t="s">
        <v>50</v>
      </c>
      <c r="H92" t="s">
        <v>51</v>
      </c>
      <c r="I92" t="s">
        <v>71</v>
      </c>
      <c r="J92" t="s">
        <v>66</v>
      </c>
      <c r="K92">
        <v>4</v>
      </c>
      <c r="L92">
        <v>16000</v>
      </c>
      <c r="M92">
        <v>15</v>
      </c>
      <c r="N92">
        <v>54400</v>
      </c>
      <c r="O92">
        <v>40000</v>
      </c>
      <c r="P92">
        <v>14400</v>
      </c>
      <c r="Q92" t="s">
        <v>64</v>
      </c>
      <c r="R92" t="s">
        <v>33</v>
      </c>
    </row>
    <row r="93" spans="1:18" x14ac:dyDescent="0.2">
      <c r="A93" t="s">
        <v>161</v>
      </c>
      <c r="B93" s="1">
        <v>45699</v>
      </c>
      <c r="C93" t="s">
        <v>89</v>
      </c>
      <c r="D93" t="s">
        <v>41</v>
      </c>
      <c r="E93">
        <v>27</v>
      </c>
      <c r="F93" t="s">
        <v>42</v>
      </c>
      <c r="G93" t="s">
        <v>43</v>
      </c>
      <c r="H93" t="s">
        <v>60</v>
      </c>
      <c r="I93" t="s">
        <v>71</v>
      </c>
      <c r="J93" t="s">
        <v>66</v>
      </c>
      <c r="K93">
        <v>2</v>
      </c>
      <c r="L93">
        <v>15000</v>
      </c>
      <c r="M93">
        <v>5</v>
      </c>
      <c r="N93">
        <v>28500</v>
      </c>
      <c r="O93">
        <v>18000</v>
      </c>
      <c r="P93">
        <v>10500</v>
      </c>
      <c r="Q93" t="s">
        <v>64</v>
      </c>
      <c r="R93" t="s">
        <v>33</v>
      </c>
    </row>
    <row r="94" spans="1:18" x14ac:dyDescent="0.2">
      <c r="A94" t="s">
        <v>162</v>
      </c>
      <c r="B94" s="1">
        <v>45965</v>
      </c>
      <c r="C94" t="s">
        <v>54</v>
      </c>
      <c r="D94" t="s">
        <v>41</v>
      </c>
      <c r="E94">
        <v>47</v>
      </c>
      <c r="F94" t="s">
        <v>21</v>
      </c>
      <c r="G94" t="s">
        <v>69</v>
      </c>
      <c r="H94" t="s">
        <v>70</v>
      </c>
      <c r="I94" t="s">
        <v>45</v>
      </c>
      <c r="J94" t="s">
        <v>66</v>
      </c>
      <c r="K94">
        <v>3</v>
      </c>
      <c r="L94">
        <v>22000</v>
      </c>
      <c r="M94">
        <v>10</v>
      </c>
      <c r="N94">
        <v>59400</v>
      </c>
      <c r="O94">
        <v>42000</v>
      </c>
      <c r="P94">
        <v>17400</v>
      </c>
      <c r="Q94" t="s">
        <v>47</v>
      </c>
      <c r="R94" t="s">
        <v>33</v>
      </c>
    </row>
    <row r="95" spans="1:18" x14ac:dyDescent="0.2">
      <c r="A95" t="s">
        <v>163</v>
      </c>
      <c r="B95" s="1">
        <v>45804</v>
      </c>
      <c r="C95" t="s">
        <v>40</v>
      </c>
      <c r="D95" t="s">
        <v>41</v>
      </c>
      <c r="E95">
        <v>33</v>
      </c>
      <c r="F95" t="s">
        <v>30</v>
      </c>
      <c r="G95" t="s">
        <v>22</v>
      </c>
      <c r="H95" t="s">
        <v>74</v>
      </c>
      <c r="I95" t="s">
        <v>71</v>
      </c>
      <c r="J95" t="s">
        <v>66</v>
      </c>
      <c r="K95">
        <v>3</v>
      </c>
      <c r="L95">
        <v>18000</v>
      </c>
      <c r="M95">
        <v>15</v>
      </c>
      <c r="N95">
        <v>45900</v>
      </c>
      <c r="O95">
        <v>33000</v>
      </c>
      <c r="P95">
        <v>12900</v>
      </c>
      <c r="Q95" t="s">
        <v>47</v>
      </c>
      <c r="R95" t="s">
        <v>38</v>
      </c>
    </row>
    <row r="96" spans="1:18" x14ac:dyDescent="0.2">
      <c r="A96" t="s">
        <v>164</v>
      </c>
      <c r="B96" s="1">
        <v>46010</v>
      </c>
      <c r="C96" t="s">
        <v>40</v>
      </c>
      <c r="D96" t="s">
        <v>41</v>
      </c>
      <c r="E96">
        <v>19</v>
      </c>
      <c r="F96" t="s">
        <v>49</v>
      </c>
      <c r="G96" t="s">
        <v>43</v>
      </c>
      <c r="H96" t="s">
        <v>44</v>
      </c>
      <c r="I96" t="s">
        <v>71</v>
      </c>
      <c r="J96" t="s">
        <v>52</v>
      </c>
      <c r="K96">
        <v>1</v>
      </c>
      <c r="L96">
        <v>20000</v>
      </c>
      <c r="M96">
        <v>10</v>
      </c>
      <c r="N96">
        <v>18000</v>
      </c>
      <c r="O96">
        <v>12000</v>
      </c>
      <c r="P96">
        <v>6000</v>
      </c>
      <c r="Q96" t="s">
        <v>64</v>
      </c>
      <c r="R96" t="s">
        <v>38</v>
      </c>
    </row>
    <row r="97" spans="1:18" x14ac:dyDescent="0.2">
      <c r="A97" t="s">
        <v>165</v>
      </c>
      <c r="B97" s="1">
        <v>45891</v>
      </c>
      <c r="C97" t="s">
        <v>40</v>
      </c>
      <c r="D97" t="s">
        <v>41</v>
      </c>
      <c r="E97">
        <v>55</v>
      </c>
      <c r="F97" t="s">
        <v>30</v>
      </c>
      <c r="G97" t="s">
        <v>50</v>
      </c>
      <c r="H97" t="s">
        <v>51</v>
      </c>
      <c r="I97" t="s">
        <v>45</v>
      </c>
      <c r="J97" t="s">
        <v>25</v>
      </c>
      <c r="K97">
        <v>2</v>
      </c>
      <c r="L97">
        <v>16000</v>
      </c>
      <c r="M97">
        <v>0</v>
      </c>
      <c r="N97">
        <v>32000</v>
      </c>
      <c r="O97">
        <v>20000</v>
      </c>
      <c r="P97">
        <v>12000</v>
      </c>
      <c r="Q97" t="s">
        <v>26</v>
      </c>
      <c r="R97" t="s">
        <v>38</v>
      </c>
    </row>
    <row r="98" spans="1:18" x14ac:dyDescent="0.2">
      <c r="A98" t="s">
        <v>166</v>
      </c>
      <c r="B98" s="1">
        <v>46018</v>
      </c>
      <c r="C98" t="s">
        <v>81</v>
      </c>
      <c r="D98" t="s">
        <v>41</v>
      </c>
      <c r="E98">
        <v>53</v>
      </c>
      <c r="F98" t="s">
        <v>21</v>
      </c>
      <c r="G98" t="s">
        <v>69</v>
      </c>
      <c r="H98" t="s">
        <v>70</v>
      </c>
      <c r="I98" t="s">
        <v>71</v>
      </c>
      <c r="J98" t="s">
        <v>66</v>
      </c>
      <c r="K98">
        <v>1</v>
      </c>
      <c r="L98">
        <v>22000</v>
      </c>
      <c r="M98">
        <v>10</v>
      </c>
      <c r="N98">
        <v>19800</v>
      </c>
      <c r="O98">
        <v>14000</v>
      </c>
      <c r="P98">
        <v>5800</v>
      </c>
      <c r="Q98" t="s">
        <v>64</v>
      </c>
      <c r="R98" t="s">
        <v>38</v>
      </c>
    </row>
    <row r="99" spans="1:18" x14ac:dyDescent="0.2">
      <c r="A99" t="s">
        <v>167</v>
      </c>
      <c r="B99" s="1">
        <v>45671</v>
      </c>
      <c r="C99" t="s">
        <v>29</v>
      </c>
      <c r="D99" t="s">
        <v>20</v>
      </c>
      <c r="E99">
        <v>51</v>
      </c>
      <c r="F99" t="s">
        <v>30</v>
      </c>
      <c r="G99" t="s">
        <v>43</v>
      </c>
      <c r="H99" t="s">
        <v>60</v>
      </c>
      <c r="I99" t="s">
        <v>71</v>
      </c>
      <c r="J99" t="s">
        <v>66</v>
      </c>
      <c r="K99">
        <v>1</v>
      </c>
      <c r="L99">
        <v>15000</v>
      </c>
      <c r="M99">
        <v>5</v>
      </c>
      <c r="N99">
        <v>14250</v>
      </c>
      <c r="O99">
        <v>9000</v>
      </c>
      <c r="P99">
        <v>5250</v>
      </c>
      <c r="Q99" t="s">
        <v>47</v>
      </c>
      <c r="R99" t="s">
        <v>33</v>
      </c>
    </row>
    <row r="100" spans="1:18" x14ac:dyDescent="0.2">
      <c r="A100" t="s">
        <v>168</v>
      </c>
      <c r="B100" s="1">
        <v>45668</v>
      </c>
      <c r="C100" t="s">
        <v>81</v>
      </c>
      <c r="D100" t="s">
        <v>20</v>
      </c>
      <c r="E100">
        <v>35</v>
      </c>
      <c r="F100" t="s">
        <v>30</v>
      </c>
      <c r="G100" t="s">
        <v>50</v>
      </c>
      <c r="H100" t="s">
        <v>51</v>
      </c>
      <c r="I100" t="s">
        <v>31</v>
      </c>
      <c r="J100" t="s">
        <v>46</v>
      </c>
      <c r="K100">
        <v>2</v>
      </c>
      <c r="L100">
        <v>16000</v>
      </c>
      <c r="M100">
        <v>15</v>
      </c>
      <c r="N100">
        <v>27200</v>
      </c>
      <c r="O100">
        <v>20000</v>
      </c>
      <c r="P100">
        <v>7200</v>
      </c>
      <c r="Q100" t="s">
        <v>26</v>
      </c>
      <c r="R100" t="s">
        <v>27</v>
      </c>
    </row>
    <row r="101" spans="1:18" x14ac:dyDescent="0.2">
      <c r="A101" t="s">
        <v>169</v>
      </c>
      <c r="B101" s="1">
        <v>45795</v>
      </c>
      <c r="C101" t="s">
        <v>78</v>
      </c>
      <c r="D101" t="s">
        <v>20</v>
      </c>
      <c r="E101">
        <v>45</v>
      </c>
      <c r="F101" t="s">
        <v>30</v>
      </c>
      <c r="G101" t="s">
        <v>43</v>
      </c>
      <c r="H101" t="s">
        <v>44</v>
      </c>
      <c r="I101" t="s">
        <v>71</v>
      </c>
      <c r="J101" t="s">
        <v>95</v>
      </c>
      <c r="K101">
        <v>4</v>
      </c>
      <c r="L101">
        <v>20000</v>
      </c>
      <c r="M101">
        <v>10</v>
      </c>
      <c r="N101">
        <v>72000</v>
      </c>
      <c r="O101">
        <v>48000</v>
      </c>
      <c r="P101">
        <v>24000</v>
      </c>
      <c r="Q101" t="s">
        <v>64</v>
      </c>
      <c r="R101" t="s">
        <v>38</v>
      </c>
    </row>
    <row r="102" spans="1:18" x14ac:dyDescent="0.2">
      <c r="A102" t="s">
        <v>170</v>
      </c>
      <c r="B102" s="1">
        <v>45973</v>
      </c>
      <c r="C102" t="s">
        <v>62</v>
      </c>
      <c r="D102" t="s">
        <v>41</v>
      </c>
      <c r="E102">
        <v>25</v>
      </c>
      <c r="F102" t="s">
        <v>68</v>
      </c>
      <c r="G102" t="s">
        <v>69</v>
      </c>
      <c r="H102" t="s">
        <v>82</v>
      </c>
      <c r="I102" t="s">
        <v>24</v>
      </c>
      <c r="J102" t="s">
        <v>32</v>
      </c>
      <c r="K102">
        <v>4</v>
      </c>
      <c r="L102">
        <v>25000</v>
      </c>
      <c r="M102">
        <v>0</v>
      </c>
      <c r="N102">
        <v>100000</v>
      </c>
      <c r="O102">
        <v>68000</v>
      </c>
      <c r="P102">
        <v>32000</v>
      </c>
      <c r="Q102" t="s">
        <v>47</v>
      </c>
      <c r="R102" t="s">
        <v>38</v>
      </c>
    </row>
    <row r="103" spans="1:18" x14ac:dyDescent="0.2">
      <c r="A103" t="s">
        <v>171</v>
      </c>
      <c r="B103" s="1">
        <v>45821</v>
      </c>
      <c r="C103" t="s">
        <v>62</v>
      </c>
      <c r="D103" t="s">
        <v>20</v>
      </c>
      <c r="E103">
        <v>39</v>
      </c>
      <c r="F103" t="s">
        <v>42</v>
      </c>
      <c r="G103" t="s">
        <v>69</v>
      </c>
      <c r="H103" t="s">
        <v>70</v>
      </c>
      <c r="I103" t="s">
        <v>45</v>
      </c>
      <c r="J103" t="s">
        <v>25</v>
      </c>
      <c r="K103">
        <v>4</v>
      </c>
      <c r="L103">
        <v>22000</v>
      </c>
      <c r="M103">
        <v>0</v>
      </c>
      <c r="N103">
        <v>88000</v>
      </c>
      <c r="O103">
        <v>56000</v>
      </c>
      <c r="P103">
        <v>32000</v>
      </c>
      <c r="Q103" t="s">
        <v>47</v>
      </c>
      <c r="R103" t="s">
        <v>33</v>
      </c>
    </row>
    <row r="104" spans="1:18" x14ac:dyDescent="0.2">
      <c r="A104" t="s">
        <v>172</v>
      </c>
      <c r="B104" s="1">
        <v>45851</v>
      </c>
      <c r="C104" t="s">
        <v>54</v>
      </c>
      <c r="D104" t="s">
        <v>20</v>
      </c>
      <c r="E104">
        <v>51</v>
      </c>
      <c r="F104" t="s">
        <v>42</v>
      </c>
      <c r="G104" t="s">
        <v>69</v>
      </c>
      <c r="H104" t="s">
        <v>70</v>
      </c>
      <c r="I104" t="s">
        <v>45</v>
      </c>
      <c r="J104" t="s">
        <v>25</v>
      </c>
      <c r="K104">
        <v>1</v>
      </c>
      <c r="L104">
        <v>22000</v>
      </c>
      <c r="M104">
        <v>5</v>
      </c>
      <c r="N104">
        <v>20900</v>
      </c>
      <c r="O104">
        <v>14000</v>
      </c>
      <c r="P104">
        <v>6900</v>
      </c>
      <c r="Q104" t="s">
        <v>47</v>
      </c>
      <c r="R104" t="s">
        <v>33</v>
      </c>
    </row>
    <row r="105" spans="1:18" x14ac:dyDescent="0.2">
      <c r="A105" t="s">
        <v>173</v>
      </c>
      <c r="B105" s="1">
        <v>45997</v>
      </c>
      <c r="C105" t="s">
        <v>54</v>
      </c>
      <c r="D105" t="s">
        <v>20</v>
      </c>
      <c r="E105">
        <v>21</v>
      </c>
      <c r="F105" t="s">
        <v>21</v>
      </c>
      <c r="G105" t="s">
        <v>36</v>
      </c>
      <c r="H105" t="s">
        <v>76</v>
      </c>
      <c r="I105" t="s">
        <v>24</v>
      </c>
      <c r="J105" t="s">
        <v>95</v>
      </c>
      <c r="K105">
        <v>2</v>
      </c>
      <c r="L105">
        <v>10000</v>
      </c>
      <c r="M105">
        <v>10</v>
      </c>
      <c r="N105">
        <v>18000</v>
      </c>
      <c r="O105">
        <v>12000</v>
      </c>
      <c r="P105">
        <v>6000</v>
      </c>
      <c r="Q105" t="s">
        <v>26</v>
      </c>
      <c r="R105" t="s">
        <v>27</v>
      </c>
    </row>
    <row r="106" spans="1:18" x14ac:dyDescent="0.2">
      <c r="A106" t="s">
        <v>174</v>
      </c>
      <c r="B106" s="1">
        <v>46004</v>
      </c>
      <c r="C106" t="s">
        <v>78</v>
      </c>
      <c r="D106" t="s">
        <v>20</v>
      </c>
      <c r="E106">
        <v>20</v>
      </c>
      <c r="F106" t="s">
        <v>21</v>
      </c>
      <c r="G106" t="s">
        <v>50</v>
      </c>
      <c r="H106" t="s">
        <v>57</v>
      </c>
      <c r="I106" t="s">
        <v>31</v>
      </c>
      <c r="J106" t="s">
        <v>32</v>
      </c>
      <c r="K106">
        <v>1</v>
      </c>
      <c r="L106">
        <v>14000</v>
      </c>
      <c r="M106">
        <v>5</v>
      </c>
      <c r="N106">
        <v>13300</v>
      </c>
      <c r="O106">
        <v>8500</v>
      </c>
      <c r="P106">
        <v>4800</v>
      </c>
      <c r="Q106" t="s">
        <v>64</v>
      </c>
      <c r="R106" t="s">
        <v>58</v>
      </c>
    </row>
    <row r="107" spans="1:18" x14ac:dyDescent="0.2">
      <c r="A107" t="s">
        <v>175</v>
      </c>
      <c r="B107" s="1">
        <v>45888</v>
      </c>
      <c r="C107" t="s">
        <v>62</v>
      </c>
      <c r="D107" t="s">
        <v>20</v>
      </c>
      <c r="E107">
        <v>48</v>
      </c>
      <c r="F107" t="s">
        <v>49</v>
      </c>
      <c r="G107" t="s">
        <v>43</v>
      </c>
      <c r="H107" t="s">
        <v>44</v>
      </c>
      <c r="I107" t="s">
        <v>71</v>
      </c>
      <c r="J107" t="s">
        <v>52</v>
      </c>
      <c r="K107">
        <v>4</v>
      </c>
      <c r="L107">
        <v>20000</v>
      </c>
      <c r="M107">
        <v>5</v>
      </c>
      <c r="N107">
        <v>76000</v>
      </c>
      <c r="O107">
        <v>48000</v>
      </c>
      <c r="P107">
        <v>28000</v>
      </c>
      <c r="Q107" t="s">
        <v>64</v>
      </c>
      <c r="R107" t="s">
        <v>27</v>
      </c>
    </row>
    <row r="108" spans="1:18" x14ac:dyDescent="0.2">
      <c r="A108" t="s">
        <v>176</v>
      </c>
      <c r="B108" s="1">
        <v>45798</v>
      </c>
      <c r="C108" t="s">
        <v>73</v>
      </c>
      <c r="D108" t="s">
        <v>41</v>
      </c>
      <c r="E108">
        <v>25</v>
      </c>
      <c r="F108" t="s">
        <v>49</v>
      </c>
      <c r="G108" t="s">
        <v>50</v>
      </c>
      <c r="H108" t="s">
        <v>57</v>
      </c>
      <c r="I108" t="s">
        <v>45</v>
      </c>
      <c r="J108" t="s">
        <v>32</v>
      </c>
      <c r="K108">
        <v>1</v>
      </c>
      <c r="L108">
        <v>14000</v>
      </c>
      <c r="M108">
        <v>15</v>
      </c>
      <c r="N108">
        <v>11900</v>
      </c>
      <c r="O108">
        <v>8500</v>
      </c>
      <c r="P108">
        <v>3400</v>
      </c>
      <c r="Q108" t="s">
        <v>64</v>
      </c>
      <c r="R108" t="s">
        <v>58</v>
      </c>
    </row>
    <row r="109" spans="1:18" x14ac:dyDescent="0.2">
      <c r="A109" t="s">
        <v>177</v>
      </c>
      <c r="B109" s="1">
        <v>45855</v>
      </c>
      <c r="C109" t="s">
        <v>91</v>
      </c>
      <c r="D109" t="s">
        <v>20</v>
      </c>
      <c r="E109">
        <v>25</v>
      </c>
      <c r="F109" t="s">
        <v>49</v>
      </c>
      <c r="G109" t="s">
        <v>36</v>
      </c>
      <c r="H109" t="s">
        <v>37</v>
      </c>
      <c r="I109" t="s">
        <v>71</v>
      </c>
      <c r="J109" t="s">
        <v>32</v>
      </c>
      <c r="K109">
        <v>4</v>
      </c>
      <c r="L109">
        <v>8000</v>
      </c>
      <c r="M109">
        <v>10</v>
      </c>
      <c r="N109">
        <v>28800</v>
      </c>
      <c r="O109">
        <v>18000</v>
      </c>
      <c r="P109">
        <v>10800</v>
      </c>
      <c r="Q109" t="s">
        <v>64</v>
      </c>
      <c r="R109" t="s">
        <v>38</v>
      </c>
    </row>
    <row r="110" spans="1:18" x14ac:dyDescent="0.2">
      <c r="A110" t="s">
        <v>178</v>
      </c>
      <c r="B110" s="1">
        <v>45727</v>
      </c>
      <c r="C110" t="s">
        <v>29</v>
      </c>
      <c r="D110" t="s">
        <v>20</v>
      </c>
      <c r="E110">
        <v>26</v>
      </c>
      <c r="F110" t="s">
        <v>49</v>
      </c>
      <c r="G110" t="s">
        <v>50</v>
      </c>
      <c r="H110" t="s">
        <v>57</v>
      </c>
      <c r="I110" t="s">
        <v>24</v>
      </c>
      <c r="J110" t="s">
        <v>46</v>
      </c>
      <c r="K110">
        <v>3</v>
      </c>
      <c r="L110">
        <v>14000</v>
      </c>
      <c r="M110">
        <v>15</v>
      </c>
      <c r="N110">
        <v>35700</v>
      </c>
      <c r="O110">
        <v>25500</v>
      </c>
      <c r="P110">
        <v>10200</v>
      </c>
      <c r="Q110" t="s">
        <v>64</v>
      </c>
      <c r="R110" t="s">
        <v>27</v>
      </c>
    </row>
    <row r="111" spans="1:18" x14ac:dyDescent="0.2">
      <c r="A111" t="s">
        <v>179</v>
      </c>
      <c r="B111" s="1">
        <v>45754</v>
      </c>
      <c r="C111" t="s">
        <v>73</v>
      </c>
      <c r="D111" t="s">
        <v>41</v>
      </c>
      <c r="E111">
        <v>37</v>
      </c>
      <c r="F111" t="s">
        <v>42</v>
      </c>
      <c r="G111" t="s">
        <v>50</v>
      </c>
      <c r="H111" t="s">
        <v>57</v>
      </c>
      <c r="I111" t="s">
        <v>71</v>
      </c>
      <c r="J111" t="s">
        <v>52</v>
      </c>
      <c r="K111">
        <v>1</v>
      </c>
      <c r="L111">
        <v>14000</v>
      </c>
      <c r="M111">
        <v>0</v>
      </c>
      <c r="N111">
        <v>14000</v>
      </c>
      <c r="O111">
        <v>8500</v>
      </c>
      <c r="P111">
        <v>5500</v>
      </c>
      <c r="Q111" t="s">
        <v>64</v>
      </c>
      <c r="R111" t="s">
        <v>38</v>
      </c>
    </row>
    <row r="112" spans="1:18" x14ac:dyDescent="0.2">
      <c r="A112" t="s">
        <v>180</v>
      </c>
      <c r="B112" s="1">
        <v>45950</v>
      </c>
      <c r="C112" t="s">
        <v>40</v>
      </c>
      <c r="D112" t="s">
        <v>20</v>
      </c>
      <c r="E112">
        <v>37</v>
      </c>
      <c r="F112" t="s">
        <v>49</v>
      </c>
      <c r="G112" t="s">
        <v>69</v>
      </c>
      <c r="H112" t="s">
        <v>82</v>
      </c>
      <c r="I112" t="s">
        <v>71</v>
      </c>
      <c r="J112" t="s">
        <v>32</v>
      </c>
      <c r="K112">
        <v>3</v>
      </c>
      <c r="L112">
        <v>25000</v>
      </c>
      <c r="M112">
        <v>0</v>
      </c>
      <c r="N112">
        <v>75000</v>
      </c>
      <c r="O112">
        <v>51000</v>
      </c>
      <c r="P112">
        <v>24000</v>
      </c>
      <c r="Q112" t="s">
        <v>64</v>
      </c>
      <c r="R112" t="s">
        <v>27</v>
      </c>
    </row>
    <row r="113" spans="1:18" x14ac:dyDescent="0.2">
      <c r="A113" t="s">
        <v>181</v>
      </c>
      <c r="B113" s="1">
        <v>45930</v>
      </c>
      <c r="C113" t="s">
        <v>89</v>
      </c>
      <c r="D113" t="s">
        <v>20</v>
      </c>
      <c r="E113">
        <v>53</v>
      </c>
      <c r="F113" t="s">
        <v>21</v>
      </c>
      <c r="G113" t="s">
        <v>50</v>
      </c>
      <c r="H113" t="s">
        <v>57</v>
      </c>
      <c r="I113" t="s">
        <v>31</v>
      </c>
      <c r="J113" t="s">
        <v>32</v>
      </c>
      <c r="K113">
        <v>4</v>
      </c>
      <c r="L113">
        <v>14000</v>
      </c>
      <c r="M113">
        <v>10</v>
      </c>
      <c r="N113">
        <v>50400</v>
      </c>
      <c r="O113">
        <v>34000</v>
      </c>
      <c r="P113">
        <v>16400</v>
      </c>
      <c r="Q113" t="s">
        <v>64</v>
      </c>
      <c r="R113" t="s">
        <v>27</v>
      </c>
    </row>
    <row r="114" spans="1:18" x14ac:dyDescent="0.2">
      <c r="A114" t="s">
        <v>182</v>
      </c>
      <c r="B114" s="1">
        <v>45810</v>
      </c>
      <c r="C114" t="s">
        <v>73</v>
      </c>
      <c r="D114" t="s">
        <v>41</v>
      </c>
      <c r="E114">
        <v>36</v>
      </c>
      <c r="F114" t="s">
        <v>30</v>
      </c>
      <c r="G114" t="s">
        <v>36</v>
      </c>
      <c r="H114" t="s">
        <v>37</v>
      </c>
      <c r="I114" t="s">
        <v>24</v>
      </c>
      <c r="J114" t="s">
        <v>46</v>
      </c>
      <c r="K114">
        <v>4</v>
      </c>
      <c r="L114">
        <v>8000</v>
      </c>
      <c r="M114">
        <v>15</v>
      </c>
      <c r="N114">
        <v>27200</v>
      </c>
      <c r="O114">
        <v>18000</v>
      </c>
      <c r="P114">
        <v>9200</v>
      </c>
      <c r="Q114" t="s">
        <v>26</v>
      </c>
      <c r="R114" t="s">
        <v>38</v>
      </c>
    </row>
    <row r="115" spans="1:18" x14ac:dyDescent="0.2">
      <c r="A115" t="s">
        <v>183</v>
      </c>
      <c r="B115" s="1">
        <v>45994</v>
      </c>
      <c r="C115" t="s">
        <v>78</v>
      </c>
      <c r="D115" t="s">
        <v>41</v>
      </c>
      <c r="E115">
        <v>24</v>
      </c>
      <c r="F115" t="s">
        <v>42</v>
      </c>
      <c r="G115" t="s">
        <v>43</v>
      </c>
      <c r="H115" t="s">
        <v>44</v>
      </c>
      <c r="I115" t="s">
        <v>71</v>
      </c>
      <c r="J115" t="s">
        <v>95</v>
      </c>
      <c r="K115">
        <v>1</v>
      </c>
      <c r="L115">
        <v>20000</v>
      </c>
      <c r="M115">
        <v>15</v>
      </c>
      <c r="N115">
        <v>17000</v>
      </c>
      <c r="O115">
        <v>12000</v>
      </c>
      <c r="P115">
        <v>5000</v>
      </c>
      <c r="Q115" t="s">
        <v>64</v>
      </c>
      <c r="R115" t="s">
        <v>27</v>
      </c>
    </row>
    <row r="116" spans="1:18" x14ac:dyDescent="0.2">
      <c r="A116" t="s">
        <v>184</v>
      </c>
      <c r="B116" s="1">
        <v>45673</v>
      </c>
      <c r="C116" t="s">
        <v>35</v>
      </c>
      <c r="D116" t="s">
        <v>20</v>
      </c>
      <c r="E116">
        <v>54</v>
      </c>
      <c r="F116" t="s">
        <v>21</v>
      </c>
      <c r="G116" t="s">
        <v>43</v>
      </c>
      <c r="H116" t="s">
        <v>60</v>
      </c>
      <c r="I116" t="s">
        <v>31</v>
      </c>
      <c r="J116" t="s">
        <v>46</v>
      </c>
      <c r="K116">
        <v>4</v>
      </c>
      <c r="L116">
        <v>15000</v>
      </c>
      <c r="M116">
        <v>10</v>
      </c>
      <c r="N116">
        <v>54000</v>
      </c>
      <c r="O116">
        <v>36000</v>
      </c>
      <c r="P116">
        <v>18000</v>
      </c>
      <c r="Q116" t="s">
        <v>47</v>
      </c>
      <c r="R116" t="s">
        <v>27</v>
      </c>
    </row>
    <row r="117" spans="1:18" x14ac:dyDescent="0.2">
      <c r="A117" t="s">
        <v>185</v>
      </c>
      <c r="B117" s="1">
        <v>45680</v>
      </c>
      <c r="C117" t="s">
        <v>91</v>
      </c>
      <c r="D117" t="s">
        <v>20</v>
      </c>
      <c r="E117">
        <v>41</v>
      </c>
      <c r="F117" t="s">
        <v>49</v>
      </c>
      <c r="G117" t="s">
        <v>43</v>
      </c>
      <c r="H117" t="s">
        <v>44</v>
      </c>
      <c r="I117" t="s">
        <v>31</v>
      </c>
      <c r="J117" t="s">
        <v>95</v>
      </c>
      <c r="K117">
        <v>4</v>
      </c>
      <c r="L117">
        <v>20000</v>
      </c>
      <c r="M117">
        <v>0</v>
      </c>
      <c r="N117">
        <v>80000</v>
      </c>
      <c r="O117">
        <v>48000</v>
      </c>
      <c r="P117">
        <v>32000</v>
      </c>
      <c r="Q117" t="s">
        <v>64</v>
      </c>
      <c r="R117" t="s">
        <v>58</v>
      </c>
    </row>
    <row r="118" spans="1:18" x14ac:dyDescent="0.2">
      <c r="A118" t="s">
        <v>186</v>
      </c>
      <c r="B118" s="1">
        <v>45988</v>
      </c>
      <c r="C118" t="s">
        <v>62</v>
      </c>
      <c r="D118" t="s">
        <v>41</v>
      </c>
      <c r="E118">
        <v>45</v>
      </c>
      <c r="F118" t="s">
        <v>49</v>
      </c>
      <c r="G118" t="s">
        <v>69</v>
      </c>
      <c r="H118" t="s">
        <v>70</v>
      </c>
      <c r="I118" t="s">
        <v>24</v>
      </c>
      <c r="J118" t="s">
        <v>25</v>
      </c>
      <c r="K118">
        <v>2</v>
      </c>
      <c r="L118">
        <v>22000</v>
      </c>
      <c r="M118">
        <v>15</v>
      </c>
      <c r="N118">
        <v>37400</v>
      </c>
      <c r="O118">
        <v>28000</v>
      </c>
      <c r="P118">
        <v>9400</v>
      </c>
      <c r="Q118" t="s">
        <v>26</v>
      </c>
      <c r="R118" t="s">
        <v>38</v>
      </c>
    </row>
    <row r="119" spans="1:18" x14ac:dyDescent="0.2">
      <c r="A119" t="s">
        <v>187</v>
      </c>
      <c r="B119" s="1">
        <v>45689</v>
      </c>
      <c r="C119" t="s">
        <v>54</v>
      </c>
      <c r="D119" t="s">
        <v>41</v>
      </c>
      <c r="E119">
        <v>33</v>
      </c>
      <c r="F119" t="s">
        <v>21</v>
      </c>
      <c r="G119" t="s">
        <v>22</v>
      </c>
      <c r="H119" t="s">
        <v>74</v>
      </c>
      <c r="I119" t="s">
        <v>45</v>
      </c>
      <c r="J119" t="s">
        <v>32</v>
      </c>
      <c r="K119">
        <v>2</v>
      </c>
      <c r="L119">
        <v>18000</v>
      </c>
      <c r="M119">
        <v>5</v>
      </c>
      <c r="N119">
        <v>34200</v>
      </c>
      <c r="O119">
        <v>22000</v>
      </c>
      <c r="P119">
        <v>12200</v>
      </c>
      <c r="Q119" t="s">
        <v>26</v>
      </c>
      <c r="R119" t="s">
        <v>27</v>
      </c>
    </row>
    <row r="120" spans="1:18" x14ac:dyDescent="0.2">
      <c r="A120" t="s">
        <v>188</v>
      </c>
      <c r="B120" s="1">
        <v>45660</v>
      </c>
      <c r="C120" t="s">
        <v>19</v>
      </c>
      <c r="D120" t="s">
        <v>41</v>
      </c>
      <c r="E120">
        <v>23</v>
      </c>
      <c r="F120" t="s">
        <v>68</v>
      </c>
      <c r="G120" t="s">
        <v>22</v>
      </c>
      <c r="H120" t="s">
        <v>74</v>
      </c>
      <c r="I120" t="s">
        <v>24</v>
      </c>
      <c r="J120" t="s">
        <v>25</v>
      </c>
      <c r="K120">
        <v>1</v>
      </c>
      <c r="L120">
        <v>18000</v>
      </c>
      <c r="M120">
        <v>5</v>
      </c>
      <c r="N120">
        <v>17100</v>
      </c>
      <c r="O120">
        <v>11000</v>
      </c>
      <c r="P120">
        <v>6100</v>
      </c>
      <c r="Q120" t="s">
        <v>64</v>
      </c>
      <c r="R120" t="s">
        <v>33</v>
      </c>
    </row>
    <row r="121" spans="1:18" x14ac:dyDescent="0.2">
      <c r="A121" t="s">
        <v>189</v>
      </c>
      <c r="B121" s="1">
        <v>45853</v>
      </c>
      <c r="C121" t="s">
        <v>40</v>
      </c>
      <c r="D121" t="s">
        <v>41</v>
      </c>
      <c r="E121">
        <v>55</v>
      </c>
      <c r="F121" t="s">
        <v>49</v>
      </c>
      <c r="G121" t="s">
        <v>43</v>
      </c>
      <c r="H121" t="s">
        <v>44</v>
      </c>
      <c r="I121" t="s">
        <v>31</v>
      </c>
      <c r="J121" t="s">
        <v>95</v>
      </c>
      <c r="K121">
        <v>4</v>
      </c>
      <c r="L121">
        <v>20000</v>
      </c>
      <c r="M121">
        <v>0</v>
      </c>
      <c r="N121">
        <v>80000</v>
      </c>
      <c r="O121">
        <v>48000</v>
      </c>
      <c r="P121">
        <v>32000</v>
      </c>
      <c r="Q121" t="s">
        <v>26</v>
      </c>
      <c r="R121" t="s">
        <v>27</v>
      </c>
    </row>
    <row r="122" spans="1:18" x14ac:dyDescent="0.2">
      <c r="A122" t="s">
        <v>190</v>
      </c>
      <c r="B122" s="1">
        <v>45788</v>
      </c>
      <c r="C122" t="s">
        <v>40</v>
      </c>
      <c r="D122" t="s">
        <v>20</v>
      </c>
      <c r="E122">
        <v>30</v>
      </c>
      <c r="F122" t="s">
        <v>21</v>
      </c>
      <c r="G122" t="s">
        <v>22</v>
      </c>
      <c r="H122" t="s">
        <v>74</v>
      </c>
      <c r="I122" t="s">
        <v>45</v>
      </c>
      <c r="J122" t="s">
        <v>52</v>
      </c>
      <c r="K122">
        <v>4</v>
      </c>
      <c r="L122">
        <v>18000</v>
      </c>
      <c r="M122">
        <v>0</v>
      </c>
      <c r="N122">
        <v>72000</v>
      </c>
      <c r="O122">
        <v>44000</v>
      </c>
      <c r="P122">
        <v>28000</v>
      </c>
      <c r="Q122" t="s">
        <v>64</v>
      </c>
      <c r="R122" t="s">
        <v>27</v>
      </c>
    </row>
    <row r="123" spans="1:18" x14ac:dyDescent="0.2">
      <c r="A123" t="s">
        <v>191</v>
      </c>
      <c r="B123" s="1">
        <v>45788</v>
      </c>
      <c r="C123" t="s">
        <v>81</v>
      </c>
      <c r="D123" t="s">
        <v>41</v>
      </c>
      <c r="E123">
        <v>20</v>
      </c>
      <c r="F123" t="s">
        <v>42</v>
      </c>
      <c r="G123" t="s">
        <v>69</v>
      </c>
      <c r="H123" t="s">
        <v>70</v>
      </c>
      <c r="I123" t="s">
        <v>71</v>
      </c>
      <c r="J123" t="s">
        <v>46</v>
      </c>
      <c r="K123">
        <v>2</v>
      </c>
      <c r="L123">
        <v>22000</v>
      </c>
      <c r="M123">
        <v>15</v>
      </c>
      <c r="N123">
        <v>37400</v>
      </c>
      <c r="O123">
        <v>28000</v>
      </c>
      <c r="P123">
        <v>9400</v>
      </c>
      <c r="Q123" t="s">
        <v>64</v>
      </c>
      <c r="R123" t="s">
        <v>58</v>
      </c>
    </row>
    <row r="124" spans="1:18" x14ac:dyDescent="0.2">
      <c r="A124" t="s">
        <v>192</v>
      </c>
      <c r="B124" s="1">
        <v>45810</v>
      </c>
      <c r="C124" t="s">
        <v>91</v>
      </c>
      <c r="D124" t="s">
        <v>20</v>
      </c>
      <c r="E124">
        <v>47</v>
      </c>
      <c r="F124" t="s">
        <v>49</v>
      </c>
      <c r="G124" t="s">
        <v>36</v>
      </c>
      <c r="H124" t="s">
        <v>76</v>
      </c>
      <c r="I124" t="s">
        <v>24</v>
      </c>
      <c r="J124" t="s">
        <v>95</v>
      </c>
      <c r="K124">
        <v>1</v>
      </c>
      <c r="L124">
        <v>10000</v>
      </c>
      <c r="M124">
        <v>15</v>
      </c>
      <c r="N124">
        <v>8500</v>
      </c>
      <c r="O124">
        <v>6000</v>
      </c>
      <c r="P124">
        <v>2500</v>
      </c>
      <c r="Q124" t="s">
        <v>47</v>
      </c>
      <c r="R124" t="s">
        <v>58</v>
      </c>
    </row>
    <row r="125" spans="1:18" x14ac:dyDescent="0.2">
      <c r="A125" t="s">
        <v>193</v>
      </c>
      <c r="B125" s="1">
        <v>45761</v>
      </c>
      <c r="C125" t="s">
        <v>73</v>
      </c>
      <c r="D125" t="s">
        <v>20</v>
      </c>
      <c r="E125">
        <v>33</v>
      </c>
      <c r="F125" t="s">
        <v>68</v>
      </c>
      <c r="G125" t="s">
        <v>22</v>
      </c>
      <c r="H125" t="s">
        <v>23</v>
      </c>
      <c r="I125" t="s">
        <v>31</v>
      </c>
      <c r="J125" t="s">
        <v>52</v>
      </c>
      <c r="K125">
        <v>1</v>
      </c>
      <c r="L125">
        <v>15000</v>
      </c>
      <c r="M125">
        <v>10</v>
      </c>
      <c r="N125">
        <v>13500</v>
      </c>
      <c r="O125">
        <v>9000</v>
      </c>
      <c r="P125">
        <v>4500</v>
      </c>
      <c r="Q125" t="s">
        <v>64</v>
      </c>
      <c r="R125" t="s">
        <v>58</v>
      </c>
    </row>
    <row r="126" spans="1:18" x14ac:dyDescent="0.2">
      <c r="A126" t="s">
        <v>194</v>
      </c>
      <c r="B126" s="1">
        <v>45728</v>
      </c>
      <c r="C126" t="s">
        <v>73</v>
      </c>
      <c r="D126" t="s">
        <v>20</v>
      </c>
      <c r="E126">
        <v>40</v>
      </c>
      <c r="F126" t="s">
        <v>49</v>
      </c>
      <c r="G126" t="s">
        <v>43</v>
      </c>
      <c r="H126" t="s">
        <v>60</v>
      </c>
      <c r="I126" t="s">
        <v>24</v>
      </c>
      <c r="J126" t="s">
        <v>95</v>
      </c>
      <c r="K126">
        <v>4</v>
      </c>
      <c r="L126">
        <v>15000</v>
      </c>
      <c r="M126">
        <v>15</v>
      </c>
      <c r="N126">
        <v>51000</v>
      </c>
      <c r="O126">
        <v>36000</v>
      </c>
      <c r="P126">
        <v>15000</v>
      </c>
      <c r="Q126" t="s">
        <v>47</v>
      </c>
      <c r="R126" t="s">
        <v>33</v>
      </c>
    </row>
    <row r="127" spans="1:18" x14ac:dyDescent="0.2">
      <c r="A127" t="s">
        <v>195</v>
      </c>
      <c r="B127" s="1">
        <v>45695</v>
      </c>
      <c r="C127" t="s">
        <v>81</v>
      </c>
      <c r="D127" t="s">
        <v>20</v>
      </c>
      <c r="E127">
        <v>20</v>
      </c>
      <c r="F127" t="s">
        <v>21</v>
      </c>
      <c r="G127" t="s">
        <v>69</v>
      </c>
      <c r="H127" t="s">
        <v>82</v>
      </c>
      <c r="I127" t="s">
        <v>31</v>
      </c>
      <c r="J127" t="s">
        <v>95</v>
      </c>
      <c r="K127">
        <v>1</v>
      </c>
      <c r="L127">
        <v>25000</v>
      </c>
      <c r="M127">
        <v>0</v>
      </c>
      <c r="N127">
        <v>25000</v>
      </c>
      <c r="O127">
        <v>17000</v>
      </c>
      <c r="P127">
        <v>8000</v>
      </c>
      <c r="Q127" t="s">
        <v>64</v>
      </c>
      <c r="R127" t="s">
        <v>38</v>
      </c>
    </row>
    <row r="128" spans="1:18" x14ac:dyDescent="0.2">
      <c r="A128" t="s">
        <v>196</v>
      </c>
      <c r="B128" s="1">
        <v>45998</v>
      </c>
      <c r="C128" t="s">
        <v>62</v>
      </c>
      <c r="D128" t="s">
        <v>41</v>
      </c>
      <c r="E128">
        <v>30</v>
      </c>
      <c r="F128" t="s">
        <v>68</v>
      </c>
      <c r="G128" t="s">
        <v>69</v>
      </c>
      <c r="H128" t="s">
        <v>82</v>
      </c>
      <c r="I128" t="s">
        <v>31</v>
      </c>
      <c r="J128" t="s">
        <v>52</v>
      </c>
      <c r="K128">
        <v>4</v>
      </c>
      <c r="L128">
        <v>25000</v>
      </c>
      <c r="M128">
        <v>15</v>
      </c>
      <c r="N128">
        <v>85000</v>
      </c>
      <c r="O128">
        <v>68000</v>
      </c>
      <c r="P128">
        <v>17000</v>
      </c>
      <c r="Q128" t="s">
        <v>47</v>
      </c>
      <c r="R128" t="s">
        <v>27</v>
      </c>
    </row>
    <row r="129" spans="1:18" x14ac:dyDescent="0.2">
      <c r="A129" t="s">
        <v>197</v>
      </c>
      <c r="B129" s="1">
        <v>45833</v>
      </c>
      <c r="C129" t="s">
        <v>91</v>
      </c>
      <c r="D129" t="s">
        <v>20</v>
      </c>
      <c r="E129">
        <v>33</v>
      </c>
      <c r="F129" t="s">
        <v>21</v>
      </c>
      <c r="G129" t="s">
        <v>50</v>
      </c>
      <c r="H129" t="s">
        <v>57</v>
      </c>
      <c r="I129" t="s">
        <v>24</v>
      </c>
      <c r="J129" t="s">
        <v>52</v>
      </c>
      <c r="K129">
        <v>4</v>
      </c>
      <c r="L129">
        <v>14000</v>
      </c>
      <c r="M129">
        <v>0</v>
      </c>
      <c r="N129">
        <v>56000</v>
      </c>
      <c r="O129">
        <v>34000</v>
      </c>
      <c r="P129">
        <v>22000</v>
      </c>
      <c r="Q129" t="s">
        <v>26</v>
      </c>
      <c r="R129" t="s">
        <v>38</v>
      </c>
    </row>
    <row r="130" spans="1:18" x14ac:dyDescent="0.2">
      <c r="A130" t="s">
        <v>198</v>
      </c>
      <c r="B130" s="1">
        <v>45943</v>
      </c>
      <c r="C130" t="s">
        <v>62</v>
      </c>
      <c r="D130" t="s">
        <v>20</v>
      </c>
      <c r="E130">
        <v>35</v>
      </c>
      <c r="F130" t="s">
        <v>30</v>
      </c>
      <c r="G130" t="s">
        <v>50</v>
      </c>
      <c r="H130" t="s">
        <v>51</v>
      </c>
      <c r="I130" t="s">
        <v>31</v>
      </c>
      <c r="J130" t="s">
        <v>66</v>
      </c>
      <c r="K130">
        <v>1</v>
      </c>
      <c r="L130">
        <v>16000</v>
      </c>
      <c r="M130">
        <v>10</v>
      </c>
      <c r="N130">
        <v>14400</v>
      </c>
      <c r="O130">
        <v>10000</v>
      </c>
      <c r="P130">
        <v>4400</v>
      </c>
      <c r="Q130" t="s">
        <v>47</v>
      </c>
      <c r="R130" t="s">
        <v>38</v>
      </c>
    </row>
    <row r="131" spans="1:18" x14ac:dyDescent="0.2">
      <c r="A131" t="s">
        <v>199</v>
      </c>
      <c r="B131" s="1">
        <v>45770</v>
      </c>
      <c r="C131" t="s">
        <v>29</v>
      </c>
      <c r="D131" t="s">
        <v>41</v>
      </c>
      <c r="E131">
        <v>44</v>
      </c>
      <c r="F131" t="s">
        <v>30</v>
      </c>
      <c r="G131" t="s">
        <v>36</v>
      </c>
      <c r="H131" t="s">
        <v>37</v>
      </c>
      <c r="I131" t="s">
        <v>24</v>
      </c>
      <c r="J131" t="s">
        <v>95</v>
      </c>
      <c r="K131">
        <v>1</v>
      </c>
      <c r="L131">
        <v>8000</v>
      </c>
      <c r="M131">
        <v>15</v>
      </c>
      <c r="N131">
        <v>6800</v>
      </c>
      <c r="O131">
        <v>4500</v>
      </c>
      <c r="P131">
        <v>2300</v>
      </c>
      <c r="Q131" t="s">
        <v>26</v>
      </c>
      <c r="R131" t="s">
        <v>33</v>
      </c>
    </row>
    <row r="132" spans="1:18" x14ac:dyDescent="0.2">
      <c r="A132" t="s">
        <v>200</v>
      </c>
      <c r="B132" s="1">
        <v>45718</v>
      </c>
      <c r="C132" t="s">
        <v>56</v>
      </c>
      <c r="D132" t="s">
        <v>20</v>
      </c>
      <c r="E132">
        <v>19</v>
      </c>
      <c r="F132" t="s">
        <v>21</v>
      </c>
      <c r="G132" t="s">
        <v>69</v>
      </c>
      <c r="H132" t="s">
        <v>70</v>
      </c>
      <c r="I132" t="s">
        <v>71</v>
      </c>
      <c r="J132" t="s">
        <v>95</v>
      </c>
      <c r="K132">
        <v>4</v>
      </c>
      <c r="L132">
        <v>22000</v>
      </c>
      <c r="M132">
        <v>0</v>
      </c>
      <c r="N132">
        <v>88000</v>
      </c>
      <c r="O132">
        <v>56000</v>
      </c>
      <c r="P132">
        <v>32000</v>
      </c>
      <c r="Q132" t="s">
        <v>64</v>
      </c>
      <c r="R132" t="s">
        <v>33</v>
      </c>
    </row>
    <row r="133" spans="1:18" x14ac:dyDescent="0.2">
      <c r="A133" t="s">
        <v>201</v>
      </c>
      <c r="B133" s="1">
        <v>45863</v>
      </c>
      <c r="C133" t="s">
        <v>91</v>
      </c>
      <c r="D133" t="s">
        <v>20</v>
      </c>
      <c r="E133">
        <v>24</v>
      </c>
      <c r="F133" t="s">
        <v>21</v>
      </c>
      <c r="G133" t="s">
        <v>36</v>
      </c>
      <c r="H133" t="s">
        <v>37</v>
      </c>
      <c r="I133" t="s">
        <v>24</v>
      </c>
      <c r="J133" t="s">
        <v>46</v>
      </c>
      <c r="K133">
        <v>3</v>
      </c>
      <c r="L133">
        <v>8000</v>
      </c>
      <c r="M133">
        <v>10</v>
      </c>
      <c r="N133">
        <v>21600</v>
      </c>
      <c r="O133">
        <v>13500</v>
      </c>
      <c r="P133">
        <v>8100</v>
      </c>
      <c r="Q133" t="s">
        <v>26</v>
      </c>
      <c r="R133" t="s">
        <v>33</v>
      </c>
    </row>
    <row r="134" spans="1:18" x14ac:dyDescent="0.2">
      <c r="A134" t="s">
        <v>202</v>
      </c>
      <c r="B134" s="1">
        <v>45734</v>
      </c>
      <c r="C134" t="s">
        <v>54</v>
      </c>
      <c r="D134" t="s">
        <v>41</v>
      </c>
      <c r="E134">
        <v>18</v>
      </c>
      <c r="F134" t="s">
        <v>68</v>
      </c>
      <c r="G134" t="s">
        <v>69</v>
      </c>
      <c r="H134" t="s">
        <v>82</v>
      </c>
      <c r="I134" t="s">
        <v>71</v>
      </c>
      <c r="J134" t="s">
        <v>46</v>
      </c>
      <c r="K134">
        <v>3</v>
      </c>
      <c r="L134">
        <v>25000</v>
      </c>
      <c r="M134">
        <v>10</v>
      </c>
      <c r="N134">
        <v>67500</v>
      </c>
      <c r="O134">
        <v>51000</v>
      </c>
      <c r="P134">
        <v>16500</v>
      </c>
      <c r="Q134" t="s">
        <v>64</v>
      </c>
      <c r="R134" t="s">
        <v>38</v>
      </c>
    </row>
    <row r="135" spans="1:18" x14ac:dyDescent="0.2">
      <c r="A135" t="s">
        <v>203</v>
      </c>
      <c r="B135" s="1">
        <v>45879</v>
      </c>
      <c r="C135" t="s">
        <v>86</v>
      </c>
      <c r="D135" t="s">
        <v>20</v>
      </c>
      <c r="E135">
        <v>26</v>
      </c>
      <c r="F135" t="s">
        <v>42</v>
      </c>
      <c r="G135" t="s">
        <v>36</v>
      </c>
      <c r="H135" t="s">
        <v>76</v>
      </c>
      <c r="I135" t="s">
        <v>45</v>
      </c>
      <c r="J135" t="s">
        <v>52</v>
      </c>
      <c r="K135">
        <v>2</v>
      </c>
      <c r="L135">
        <v>10000</v>
      </c>
      <c r="M135">
        <v>5</v>
      </c>
      <c r="N135">
        <v>19000</v>
      </c>
      <c r="O135">
        <v>12000</v>
      </c>
      <c r="P135">
        <v>7000</v>
      </c>
      <c r="Q135" t="s">
        <v>47</v>
      </c>
      <c r="R135" t="s">
        <v>38</v>
      </c>
    </row>
    <row r="136" spans="1:18" x14ac:dyDescent="0.2">
      <c r="A136" t="s">
        <v>204</v>
      </c>
      <c r="B136" s="1">
        <v>45813</v>
      </c>
      <c r="C136" t="s">
        <v>54</v>
      </c>
      <c r="D136" t="s">
        <v>41</v>
      </c>
      <c r="E136">
        <v>22</v>
      </c>
      <c r="F136" t="s">
        <v>49</v>
      </c>
      <c r="G136" t="s">
        <v>69</v>
      </c>
      <c r="H136" t="s">
        <v>70</v>
      </c>
      <c r="I136" t="s">
        <v>24</v>
      </c>
      <c r="J136" t="s">
        <v>66</v>
      </c>
      <c r="K136">
        <v>1</v>
      </c>
      <c r="L136">
        <v>22000</v>
      </c>
      <c r="M136">
        <v>10</v>
      </c>
      <c r="N136">
        <v>19800</v>
      </c>
      <c r="O136">
        <v>14000</v>
      </c>
      <c r="P136">
        <v>5800</v>
      </c>
      <c r="Q136" t="s">
        <v>47</v>
      </c>
      <c r="R136" t="s">
        <v>27</v>
      </c>
    </row>
    <row r="137" spans="1:18" x14ac:dyDescent="0.2">
      <c r="A137" t="s">
        <v>205</v>
      </c>
      <c r="B137" s="1">
        <v>45748</v>
      </c>
      <c r="C137" t="s">
        <v>54</v>
      </c>
      <c r="D137" t="s">
        <v>41</v>
      </c>
      <c r="E137">
        <v>27</v>
      </c>
      <c r="F137" t="s">
        <v>42</v>
      </c>
      <c r="G137" t="s">
        <v>50</v>
      </c>
      <c r="H137" t="s">
        <v>57</v>
      </c>
      <c r="I137" t="s">
        <v>71</v>
      </c>
      <c r="J137" t="s">
        <v>32</v>
      </c>
      <c r="K137">
        <v>3</v>
      </c>
      <c r="L137">
        <v>14000</v>
      </c>
      <c r="M137">
        <v>0</v>
      </c>
      <c r="N137">
        <v>42000</v>
      </c>
      <c r="O137">
        <v>25500</v>
      </c>
      <c r="P137">
        <v>16500</v>
      </c>
      <c r="Q137" t="s">
        <v>64</v>
      </c>
      <c r="R137" t="s">
        <v>27</v>
      </c>
    </row>
    <row r="138" spans="1:18" x14ac:dyDescent="0.2">
      <c r="A138" t="s">
        <v>206</v>
      </c>
      <c r="B138" s="1">
        <v>46007</v>
      </c>
      <c r="C138" t="s">
        <v>54</v>
      </c>
      <c r="D138" t="s">
        <v>20</v>
      </c>
      <c r="E138">
        <v>45</v>
      </c>
      <c r="F138" t="s">
        <v>42</v>
      </c>
      <c r="G138" t="s">
        <v>22</v>
      </c>
      <c r="H138" t="s">
        <v>74</v>
      </c>
      <c r="I138" t="s">
        <v>45</v>
      </c>
      <c r="J138" t="s">
        <v>46</v>
      </c>
      <c r="K138">
        <v>4</v>
      </c>
      <c r="L138">
        <v>18000</v>
      </c>
      <c r="M138">
        <v>15</v>
      </c>
      <c r="N138">
        <v>61200</v>
      </c>
      <c r="O138">
        <v>44000</v>
      </c>
      <c r="P138">
        <v>17200</v>
      </c>
      <c r="Q138" t="s">
        <v>47</v>
      </c>
      <c r="R138" t="s">
        <v>38</v>
      </c>
    </row>
    <row r="139" spans="1:18" x14ac:dyDescent="0.2">
      <c r="A139" t="s">
        <v>207</v>
      </c>
      <c r="B139" s="1">
        <v>45705</v>
      </c>
      <c r="C139" t="s">
        <v>40</v>
      </c>
      <c r="D139" t="s">
        <v>20</v>
      </c>
      <c r="E139">
        <v>20</v>
      </c>
      <c r="F139" t="s">
        <v>68</v>
      </c>
      <c r="G139" t="s">
        <v>36</v>
      </c>
      <c r="H139" t="s">
        <v>76</v>
      </c>
      <c r="I139" t="s">
        <v>24</v>
      </c>
      <c r="J139" t="s">
        <v>25</v>
      </c>
      <c r="K139">
        <v>2</v>
      </c>
      <c r="L139">
        <v>10000</v>
      </c>
      <c r="M139">
        <v>10</v>
      </c>
      <c r="N139">
        <v>18000</v>
      </c>
      <c r="O139">
        <v>12000</v>
      </c>
      <c r="P139">
        <v>6000</v>
      </c>
      <c r="Q139" t="s">
        <v>47</v>
      </c>
      <c r="R139" t="s">
        <v>33</v>
      </c>
    </row>
    <row r="140" spans="1:18" x14ac:dyDescent="0.2">
      <c r="A140" t="s">
        <v>208</v>
      </c>
      <c r="B140" s="1">
        <v>45910</v>
      </c>
      <c r="C140" t="s">
        <v>35</v>
      </c>
      <c r="D140" t="s">
        <v>41</v>
      </c>
      <c r="E140">
        <v>50</v>
      </c>
      <c r="F140" t="s">
        <v>49</v>
      </c>
      <c r="G140" t="s">
        <v>69</v>
      </c>
      <c r="H140" t="s">
        <v>82</v>
      </c>
      <c r="I140" t="s">
        <v>45</v>
      </c>
      <c r="J140" t="s">
        <v>46</v>
      </c>
      <c r="K140">
        <v>4</v>
      </c>
      <c r="L140">
        <v>25000</v>
      </c>
      <c r="M140">
        <v>0</v>
      </c>
      <c r="N140">
        <v>100000</v>
      </c>
      <c r="O140">
        <v>68000</v>
      </c>
      <c r="P140">
        <v>32000</v>
      </c>
      <c r="Q140" t="s">
        <v>47</v>
      </c>
      <c r="R140" t="s">
        <v>58</v>
      </c>
    </row>
    <row r="141" spans="1:18" x14ac:dyDescent="0.2">
      <c r="A141" t="s">
        <v>209</v>
      </c>
      <c r="B141" s="1">
        <v>45807</v>
      </c>
      <c r="C141" t="s">
        <v>62</v>
      </c>
      <c r="D141" t="s">
        <v>20</v>
      </c>
      <c r="E141">
        <v>55</v>
      </c>
      <c r="F141" t="s">
        <v>30</v>
      </c>
      <c r="G141" t="s">
        <v>43</v>
      </c>
      <c r="H141" t="s">
        <v>44</v>
      </c>
      <c r="I141" t="s">
        <v>71</v>
      </c>
      <c r="J141" t="s">
        <v>66</v>
      </c>
      <c r="K141">
        <v>3</v>
      </c>
      <c r="L141">
        <v>20000</v>
      </c>
      <c r="M141">
        <v>15</v>
      </c>
      <c r="N141">
        <v>51000</v>
      </c>
      <c r="O141">
        <v>36000</v>
      </c>
      <c r="P141">
        <v>15000</v>
      </c>
      <c r="Q141" t="s">
        <v>26</v>
      </c>
      <c r="R141" t="s">
        <v>33</v>
      </c>
    </row>
    <row r="142" spans="1:18" x14ac:dyDescent="0.2">
      <c r="A142" t="s">
        <v>210</v>
      </c>
      <c r="B142" s="1">
        <v>46009</v>
      </c>
      <c r="C142" t="s">
        <v>78</v>
      </c>
      <c r="D142" t="s">
        <v>20</v>
      </c>
      <c r="E142">
        <v>32</v>
      </c>
      <c r="F142" t="s">
        <v>30</v>
      </c>
      <c r="G142" t="s">
        <v>43</v>
      </c>
      <c r="H142" t="s">
        <v>44</v>
      </c>
      <c r="I142" t="s">
        <v>45</v>
      </c>
      <c r="J142" t="s">
        <v>52</v>
      </c>
      <c r="K142">
        <v>1</v>
      </c>
      <c r="L142">
        <v>20000</v>
      </c>
      <c r="M142">
        <v>10</v>
      </c>
      <c r="N142">
        <v>18000</v>
      </c>
      <c r="O142">
        <v>12000</v>
      </c>
      <c r="P142">
        <v>6000</v>
      </c>
      <c r="Q142" t="s">
        <v>47</v>
      </c>
      <c r="R142" t="s">
        <v>27</v>
      </c>
    </row>
    <row r="143" spans="1:18" x14ac:dyDescent="0.2">
      <c r="A143" t="s">
        <v>211</v>
      </c>
      <c r="B143" s="1">
        <v>45747</v>
      </c>
      <c r="C143" t="s">
        <v>91</v>
      </c>
      <c r="D143" t="s">
        <v>41</v>
      </c>
      <c r="E143">
        <v>47</v>
      </c>
      <c r="F143" t="s">
        <v>21</v>
      </c>
      <c r="G143" t="s">
        <v>36</v>
      </c>
      <c r="H143" t="s">
        <v>76</v>
      </c>
      <c r="I143" t="s">
        <v>71</v>
      </c>
      <c r="J143" t="s">
        <v>52</v>
      </c>
      <c r="K143">
        <v>2</v>
      </c>
      <c r="L143">
        <v>10000</v>
      </c>
      <c r="M143">
        <v>15</v>
      </c>
      <c r="N143">
        <v>17000</v>
      </c>
      <c r="O143">
        <v>12000</v>
      </c>
      <c r="P143">
        <v>5000</v>
      </c>
      <c r="Q143" t="s">
        <v>47</v>
      </c>
      <c r="R143" t="s">
        <v>58</v>
      </c>
    </row>
    <row r="144" spans="1:18" x14ac:dyDescent="0.2">
      <c r="A144" t="s">
        <v>212</v>
      </c>
      <c r="B144" s="1">
        <v>45923</v>
      </c>
      <c r="C144" t="s">
        <v>73</v>
      </c>
      <c r="D144" t="s">
        <v>20</v>
      </c>
      <c r="E144">
        <v>31</v>
      </c>
      <c r="F144" t="s">
        <v>42</v>
      </c>
      <c r="G144" t="s">
        <v>36</v>
      </c>
      <c r="H144" t="s">
        <v>37</v>
      </c>
      <c r="I144" t="s">
        <v>24</v>
      </c>
      <c r="J144" t="s">
        <v>32</v>
      </c>
      <c r="K144">
        <v>3</v>
      </c>
      <c r="L144">
        <v>8000</v>
      </c>
      <c r="M144">
        <v>0</v>
      </c>
      <c r="N144">
        <v>24000</v>
      </c>
      <c r="O144">
        <v>13500</v>
      </c>
      <c r="P144">
        <v>10500</v>
      </c>
      <c r="Q144" t="s">
        <v>47</v>
      </c>
      <c r="R144" t="s">
        <v>27</v>
      </c>
    </row>
    <row r="145" spans="1:18" x14ac:dyDescent="0.2">
      <c r="A145" t="s">
        <v>213</v>
      </c>
      <c r="B145" s="1">
        <v>45711</v>
      </c>
      <c r="C145" t="s">
        <v>89</v>
      </c>
      <c r="D145" t="s">
        <v>41</v>
      </c>
      <c r="E145">
        <v>34</v>
      </c>
      <c r="F145" t="s">
        <v>21</v>
      </c>
      <c r="G145" t="s">
        <v>43</v>
      </c>
      <c r="H145" t="s">
        <v>44</v>
      </c>
      <c r="I145" t="s">
        <v>24</v>
      </c>
      <c r="J145" t="s">
        <v>25</v>
      </c>
      <c r="K145">
        <v>2</v>
      </c>
      <c r="L145">
        <v>20000</v>
      </c>
      <c r="M145">
        <v>10</v>
      </c>
      <c r="N145">
        <v>36000</v>
      </c>
      <c r="O145">
        <v>24000</v>
      </c>
      <c r="P145">
        <v>12000</v>
      </c>
      <c r="Q145" t="s">
        <v>26</v>
      </c>
      <c r="R145" t="s">
        <v>27</v>
      </c>
    </row>
    <row r="146" spans="1:18" x14ac:dyDescent="0.2">
      <c r="A146" t="s">
        <v>214</v>
      </c>
      <c r="B146" s="1">
        <v>45719</v>
      </c>
      <c r="C146" t="s">
        <v>89</v>
      </c>
      <c r="D146" t="s">
        <v>20</v>
      </c>
      <c r="E146">
        <v>38</v>
      </c>
      <c r="F146" t="s">
        <v>49</v>
      </c>
      <c r="G146" t="s">
        <v>50</v>
      </c>
      <c r="H146" t="s">
        <v>51</v>
      </c>
      <c r="I146" t="s">
        <v>45</v>
      </c>
      <c r="J146" t="s">
        <v>32</v>
      </c>
      <c r="K146">
        <v>2</v>
      </c>
      <c r="L146">
        <v>16000</v>
      </c>
      <c r="M146">
        <v>5</v>
      </c>
      <c r="N146">
        <v>30400</v>
      </c>
      <c r="O146">
        <v>20000</v>
      </c>
      <c r="P146">
        <v>10400</v>
      </c>
      <c r="Q146" t="s">
        <v>26</v>
      </c>
      <c r="R146" t="s">
        <v>33</v>
      </c>
    </row>
    <row r="147" spans="1:18" x14ac:dyDescent="0.2">
      <c r="A147" t="s">
        <v>215</v>
      </c>
      <c r="B147" s="1">
        <v>45774</v>
      </c>
      <c r="C147" t="s">
        <v>89</v>
      </c>
      <c r="D147" t="s">
        <v>20</v>
      </c>
      <c r="E147">
        <v>34</v>
      </c>
      <c r="F147" t="s">
        <v>49</v>
      </c>
      <c r="G147" t="s">
        <v>43</v>
      </c>
      <c r="H147" t="s">
        <v>60</v>
      </c>
      <c r="I147" t="s">
        <v>31</v>
      </c>
      <c r="J147" t="s">
        <v>25</v>
      </c>
      <c r="K147">
        <v>2</v>
      </c>
      <c r="L147">
        <v>15000</v>
      </c>
      <c r="M147">
        <v>0</v>
      </c>
      <c r="N147">
        <v>30000</v>
      </c>
      <c r="O147">
        <v>18000</v>
      </c>
      <c r="P147">
        <v>12000</v>
      </c>
      <c r="Q147" t="s">
        <v>26</v>
      </c>
      <c r="R147" t="s">
        <v>38</v>
      </c>
    </row>
    <row r="148" spans="1:18" x14ac:dyDescent="0.2">
      <c r="A148" t="s">
        <v>216</v>
      </c>
      <c r="B148" s="1">
        <v>45925</v>
      </c>
      <c r="C148" t="s">
        <v>86</v>
      </c>
      <c r="D148" t="s">
        <v>41</v>
      </c>
      <c r="E148">
        <v>19</v>
      </c>
      <c r="F148" t="s">
        <v>21</v>
      </c>
      <c r="G148" t="s">
        <v>36</v>
      </c>
      <c r="H148" t="s">
        <v>37</v>
      </c>
      <c r="I148" t="s">
        <v>31</v>
      </c>
      <c r="J148" t="s">
        <v>66</v>
      </c>
      <c r="K148">
        <v>2</v>
      </c>
      <c r="L148">
        <v>8000</v>
      </c>
      <c r="M148">
        <v>0</v>
      </c>
      <c r="N148">
        <v>16000</v>
      </c>
      <c r="O148">
        <v>9000</v>
      </c>
      <c r="P148">
        <v>7000</v>
      </c>
      <c r="Q148" t="s">
        <v>64</v>
      </c>
      <c r="R148" t="s">
        <v>38</v>
      </c>
    </row>
    <row r="149" spans="1:18" x14ac:dyDescent="0.2">
      <c r="A149" t="s">
        <v>217</v>
      </c>
      <c r="B149" s="1">
        <v>45829</v>
      </c>
      <c r="C149" t="s">
        <v>62</v>
      </c>
      <c r="D149" t="s">
        <v>20</v>
      </c>
      <c r="E149">
        <v>37</v>
      </c>
      <c r="F149" t="s">
        <v>68</v>
      </c>
      <c r="G149" t="s">
        <v>43</v>
      </c>
      <c r="H149" t="s">
        <v>44</v>
      </c>
      <c r="I149" t="s">
        <v>45</v>
      </c>
      <c r="J149" t="s">
        <v>52</v>
      </c>
      <c r="K149">
        <v>1</v>
      </c>
      <c r="L149">
        <v>20000</v>
      </c>
      <c r="M149">
        <v>10</v>
      </c>
      <c r="N149">
        <v>18000</v>
      </c>
      <c r="O149">
        <v>12000</v>
      </c>
      <c r="P149">
        <v>6000</v>
      </c>
      <c r="Q149" t="s">
        <v>47</v>
      </c>
      <c r="R149" t="s">
        <v>33</v>
      </c>
    </row>
    <row r="150" spans="1:18" x14ac:dyDescent="0.2">
      <c r="A150" t="s">
        <v>218</v>
      </c>
      <c r="B150" s="1">
        <v>45913</v>
      </c>
      <c r="C150" t="s">
        <v>19</v>
      </c>
      <c r="D150" t="s">
        <v>20</v>
      </c>
      <c r="E150">
        <v>35</v>
      </c>
      <c r="F150" t="s">
        <v>30</v>
      </c>
      <c r="G150" t="s">
        <v>50</v>
      </c>
      <c r="H150" t="s">
        <v>57</v>
      </c>
      <c r="I150" t="s">
        <v>31</v>
      </c>
      <c r="J150" t="s">
        <v>66</v>
      </c>
      <c r="K150">
        <v>1</v>
      </c>
      <c r="L150">
        <v>14000</v>
      </c>
      <c r="M150">
        <v>0</v>
      </c>
      <c r="N150">
        <v>14000</v>
      </c>
      <c r="O150">
        <v>8500</v>
      </c>
      <c r="P150">
        <v>5500</v>
      </c>
      <c r="Q150" t="s">
        <v>64</v>
      </c>
      <c r="R150" t="s">
        <v>33</v>
      </c>
    </row>
    <row r="151" spans="1:18" x14ac:dyDescent="0.2">
      <c r="A151" t="s">
        <v>219</v>
      </c>
      <c r="B151" s="1">
        <v>45727</v>
      </c>
      <c r="C151" t="s">
        <v>62</v>
      </c>
      <c r="D151" t="s">
        <v>20</v>
      </c>
      <c r="E151">
        <v>25</v>
      </c>
      <c r="F151" t="s">
        <v>49</v>
      </c>
      <c r="G151" t="s">
        <v>50</v>
      </c>
      <c r="H151" t="s">
        <v>57</v>
      </c>
      <c r="I151" t="s">
        <v>24</v>
      </c>
      <c r="J151" t="s">
        <v>46</v>
      </c>
      <c r="K151">
        <v>3</v>
      </c>
      <c r="L151">
        <v>14000</v>
      </c>
      <c r="M151">
        <v>10</v>
      </c>
      <c r="N151">
        <v>37800</v>
      </c>
      <c r="O151">
        <v>25500</v>
      </c>
      <c r="P151">
        <v>12300</v>
      </c>
      <c r="Q151" t="s">
        <v>26</v>
      </c>
      <c r="R151" t="s">
        <v>27</v>
      </c>
    </row>
    <row r="152" spans="1:18" x14ac:dyDescent="0.2">
      <c r="A152" t="s">
        <v>220</v>
      </c>
      <c r="B152" s="1">
        <v>45847</v>
      </c>
      <c r="C152" t="s">
        <v>56</v>
      </c>
      <c r="D152" t="s">
        <v>41</v>
      </c>
      <c r="E152">
        <v>21</v>
      </c>
      <c r="F152" t="s">
        <v>68</v>
      </c>
      <c r="G152" t="s">
        <v>43</v>
      </c>
      <c r="H152" t="s">
        <v>60</v>
      </c>
      <c r="I152" t="s">
        <v>45</v>
      </c>
      <c r="J152" t="s">
        <v>25</v>
      </c>
      <c r="K152">
        <v>3</v>
      </c>
      <c r="L152">
        <v>15000</v>
      </c>
      <c r="M152">
        <v>15</v>
      </c>
      <c r="N152">
        <v>38250</v>
      </c>
      <c r="O152">
        <v>27000</v>
      </c>
      <c r="P152">
        <v>11250</v>
      </c>
      <c r="Q152" t="s">
        <v>26</v>
      </c>
      <c r="R152" t="s">
        <v>33</v>
      </c>
    </row>
    <row r="153" spans="1:18" x14ac:dyDescent="0.2">
      <c r="A153" t="s">
        <v>221</v>
      </c>
      <c r="B153" s="1">
        <v>45699</v>
      </c>
      <c r="C153" t="s">
        <v>81</v>
      </c>
      <c r="D153" t="s">
        <v>41</v>
      </c>
      <c r="E153">
        <v>23</v>
      </c>
      <c r="F153" t="s">
        <v>21</v>
      </c>
      <c r="G153" t="s">
        <v>69</v>
      </c>
      <c r="H153" t="s">
        <v>70</v>
      </c>
      <c r="I153" t="s">
        <v>31</v>
      </c>
      <c r="J153" t="s">
        <v>46</v>
      </c>
      <c r="K153">
        <v>2</v>
      </c>
      <c r="L153">
        <v>22000</v>
      </c>
      <c r="M153">
        <v>10</v>
      </c>
      <c r="N153">
        <v>39600</v>
      </c>
      <c r="O153">
        <v>28000</v>
      </c>
      <c r="P153">
        <v>11600</v>
      </c>
      <c r="Q153" t="s">
        <v>64</v>
      </c>
      <c r="R153" t="s">
        <v>33</v>
      </c>
    </row>
    <row r="154" spans="1:18" x14ac:dyDescent="0.2">
      <c r="A154" t="s">
        <v>222</v>
      </c>
      <c r="B154" s="1">
        <v>45881</v>
      </c>
      <c r="C154" t="s">
        <v>62</v>
      </c>
      <c r="D154" t="s">
        <v>41</v>
      </c>
      <c r="E154">
        <v>51</v>
      </c>
      <c r="F154" t="s">
        <v>30</v>
      </c>
      <c r="G154" t="s">
        <v>69</v>
      </c>
      <c r="H154" t="s">
        <v>70</v>
      </c>
      <c r="I154" t="s">
        <v>45</v>
      </c>
      <c r="J154" t="s">
        <v>52</v>
      </c>
      <c r="K154">
        <v>2</v>
      </c>
      <c r="L154">
        <v>22000</v>
      </c>
      <c r="M154">
        <v>10</v>
      </c>
      <c r="N154">
        <v>39600</v>
      </c>
      <c r="O154">
        <v>28000</v>
      </c>
      <c r="P154">
        <v>11600</v>
      </c>
      <c r="Q154" t="s">
        <v>47</v>
      </c>
      <c r="R154" t="s">
        <v>27</v>
      </c>
    </row>
    <row r="155" spans="1:18" x14ac:dyDescent="0.2">
      <c r="A155" t="s">
        <v>223</v>
      </c>
      <c r="B155" s="1">
        <v>45765</v>
      </c>
      <c r="C155" t="s">
        <v>35</v>
      </c>
      <c r="D155" t="s">
        <v>41</v>
      </c>
      <c r="E155">
        <v>31</v>
      </c>
      <c r="F155" t="s">
        <v>68</v>
      </c>
      <c r="G155" t="s">
        <v>22</v>
      </c>
      <c r="H155" t="s">
        <v>23</v>
      </c>
      <c r="I155" t="s">
        <v>71</v>
      </c>
      <c r="J155" t="s">
        <v>52</v>
      </c>
      <c r="K155">
        <v>4</v>
      </c>
      <c r="L155">
        <v>15000</v>
      </c>
      <c r="M155">
        <v>5</v>
      </c>
      <c r="N155">
        <v>57000</v>
      </c>
      <c r="O155">
        <v>36000</v>
      </c>
      <c r="P155">
        <v>21000</v>
      </c>
      <c r="Q155" t="s">
        <v>26</v>
      </c>
      <c r="R155" t="s">
        <v>58</v>
      </c>
    </row>
    <row r="156" spans="1:18" x14ac:dyDescent="0.2">
      <c r="A156" t="s">
        <v>224</v>
      </c>
      <c r="B156" s="1">
        <v>45942</v>
      </c>
      <c r="C156" t="s">
        <v>62</v>
      </c>
      <c r="D156" t="s">
        <v>41</v>
      </c>
      <c r="E156">
        <v>45</v>
      </c>
      <c r="F156" t="s">
        <v>42</v>
      </c>
      <c r="G156" t="s">
        <v>43</v>
      </c>
      <c r="H156" t="s">
        <v>60</v>
      </c>
      <c r="I156" t="s">
        <v>71</v>
      </c>
      <c r="J156" t="s">
        <v>25</v>
      </c>
      <c r="K156">
        <v>2</v>
      </c>
      <c r="L156">
        <v>15000</v>
      </c>
      <c r="M156">
        <v>10</v>
      </c>
      <c r="N156">
        <v>27000</v>
      </c>
      <c r="O156">
        <v>18000</v>
      </c>
      <c r="P156">
        <v>9000</v>
      </c>
      <c r="Q156" t="s">
        <v>47</v>
      </c>
      <c r="R156" t="s">
        <v>38</v>
      </c>
    </row>
    <row r="157" spans="1:18" x14ac:dyDescent="0.2">
      <c r="A157" t="s">
        <v>225</v>
      </c>
      <c r="B157" s="1">
        <v>45982</v>
      </c>
      <c r="C157" t="s">
        <v>62</v>
      </c>
      <c r="D157" t="s">
        <v>41</v>
      </c>
      <c r="E157">
        <v>22</v>
      </c>
      <c r="F157" t="s">
        <v>30</v>
      </c>
      <c r="G157" t="s">
        <v>69</v>
      </c>
      <c r="H157" t="s">
        <v>70</v>
      </c>
      <c r="I157" t="s">
        <v>45</v>
      </c>
      <c r="J157" t="s">
        <v>32</v>
      </c>
      <c r="K157">
        <v>2</v>
      </c>
      <c r="L157">
        <v>22000</v>
      </c>
      <c r="M157">
        <v>15</v>
      </c>
      <c r="N157">
        <v>37400</v>
      </c>
      <c r="O157">
        <v>28000</v>
      </c>
      <c r="P157">
        <v>9400</v>
      </c>
      <c r="Q157" t="s">
        <v>26</v>
      </c>
      <c r="R157" t="s">
        <v>33</v>
      </c>
    </row>
    <row r="158" spans="1:18" x14ac:dyDescent="0.2">
      <c r="A158" t="s">
        <v>226</v>
      </c>
      <c r="B158" s="1">
        <v>45817</v>
      </c>
      <c r="C158" t="s">
        <v>35</v>
      </c>
      <c r="D158" t="s">
        <v>20</v>
      </c>
      <c r="E158">
        <v>18</v>
      </c>
      <c r="F158" t="s">
        <v>30</v>
      </c>
      <c r="G158" t="s">
        <v>43</v>
      </c>
      <c r="H158" t="s">
        <v>44</v>
      </c>
      <c r="I158" t="s">
        <v>71</v>
      </c>
      <c r="J158" t="s">
        <v>52</v>
      </c>
      <c r="K158">
        <v>1</v>
      </c>
      <c r="L158">
        <v>20000</v>
      </c>
      <c r="M158">
        <v>15</v>
      </c>
      <c r="N158">
        <v>17000</v>
      </c>
      <c r="O158">
        <v>12000</v>
      </c>
      <c r="P158">
        <v>5000</v>
      </c>
      <c r="Q158" t="s">
        <v>26</v>
      </c>
      <c r="R158" t="s">
        <v>27</v>
      </c>
    </row>
    <row r="159" spans="1:18" x14ac:dyDescent="0.2">
      <c r="A159" t="s">
        <v>227</v>
      </c>
      <c r="B159" s="1">
        <v>45839</v>
      </c>
      <c r="C159" t="s">
        <v>62</v>
      </c>
      <c r="D159" t="s">
        <v>41</v>
      </c>
      <c r="E159">
        <v>54</v>
      </c>
      <c r="F159" t="s">
        <v>30</v>
      </c>
      <c r="G159" t="s">
        <v>69</v>
      </c>
      <c r="H159" t="s">
        <v>70</v>
      </c>
      <c r="I159" t="s">
        <v>31</v>
      </c>
      <c r="J159" t="s">
        <v>46</v>
      </c>
      <c r="K159">
        <v>1</v>
      </c>
      <c r="L159">
        <v>22000</v>
      </c>
      <c r="M159">
        <v>0</v>
      </c>
      <c r="N159">
        <v>22000</v>
      </c>
      <c r="O159">
        <v>14000</v>
      </c>
      <c r="P159">
        <v>8000</v>
      </c>
      <c r="Q159" t="s">
        <v>26</v>
      </c>
      <c r="R159" t="s">
        <v>27</v>
      </c>
    </row>
    <row r="160" spans="1:18" x14ac:dyDescent="0.2">
      <c r="A160" t="s">
        <v>228</v>
      </c>
      <c r="B160" s="1">
        <v>45883</v>
      </c>
      <c r="C160" t="s">
        <v>54</v>
      </c>
      <c r="D160" t="s">
        <v>20</v>
      </c>
      <c r="E160">
        <v>52</v>
      </c>
      <c r="F160" t="s">
        <v>30</v>
      </c>
      <c r="G160" t="s">
        <v>69</v>
      </c>
      <c r="H160" t="s">
        <v>82</v>
      </c>
      <c r="I160" t="s">
        <v>71</v>
      </c>
      <c r="J160" t="s">
        <v>95</v>
      </c>
      <c r="K160">
        <v>3</v>
      </c>
      <c r="L160">
        <v>25000</v>
      </c>
      <c r="M160">
        <v>15</v>
      </c>
      <c r="N160">
        <v>63750</v>
      </c>
      <c r="O160">
        <v>51000</v>
      </c>
      <c r="P160">
        <v>12750</v>
      </c>
      <c r="Q160" t="s">
        <v>47</v>
      </c>
      <c r="R160" t="s">
        <v>27</v>
      </c>
    </row>
    <row r="161" spans="1:18" x14ac:dyDescent="0.2">
      <c r="A161" t="s">
        <v>229</v>
      </c>
      <c r="B161" s="1">
        <v>45799</v>
      </c>
      <c r="C161" t="s">
        <v>40</v>
      </c>
      <c r="D161" t="s">
        <v>41</v>
      </c>
      <c r="E161">
        <v>34</v>
      </c>
      <c r="F161" t="s">
        <v>21</v>
      </c>
      <c r="G161" t="s">
        <v>22</v>
      </c>
      <c r="H161" t="s">
        <v>23</v>
      </c>
      <c r="I161" t="s">
        <v>24</v>
      </c>
      <c r="J161" t="s">
        <v>52</v>
      </c>
      <c r="K161">
        <v>2</v>
      </c>
      <c r="L161">
        <v>15000</v>
      </c>
      <c r="M161">
        <v>5</v>
      </c>
      <c r="N161">
        <v>28500</v>
      </c>
      <c r="O161">
        <v>18000</v>
      </c>
      <c r="P161">
        <v>10500</v>
      </c>
      <c r="Q161" t="s">
        <v>64</v>
      </c>
      <c r="R161" t="s">
        <v>27</v>
      </c>
    </row>
    <row r="162" spans="1:18" x14ac:dyDescent="0.2">
      <c r="A162" t="s">
        <v>230</v>
      </c>
      <c r="B162" s="1">
        <v>45884</v>
      </c>
      <c r="C162" t="s">
        <v>81</v>
      </c>
      <c r="D162" t="s">
        <v>41</v>
      </c>
      <c r="E162">
        <v>28</v>
      </c>
      <c r="F162" t="s">
        <v>42</v>
      </c>
      <c r="G162" t="s">
        <v>43</v>
      </c>
      <c r="H162" t="s">
        <v>44</v>
      </c>
      <c r="I162" t="s">
        <v>71</v>
      </c>
      <c r="J162" t="s">
        <v>32</v>
      </c>
      <c r="K162">
        <v>2</v>
      </c>
      <c r="L162">
        <v>20000</v>
      </c>
      <c r="M162">
        <v>5</v>
      </c>
      <c r="N162">
        <v>38000</v>
      </c>
      <c r="O162">
        <v>24000</v>
      </c>
      <c r="P162">
        <v>14000</v>
      </c>
      <c r="Q162" t="s">
        <v>26</v>
      </c>
      <c r="R162" t="s">
        <v>58</v>
      </c>
    </row>
    <row r="163" spans="1:18" x14ac:dyDescent="0.2">
      <c r="A163" t="s">
        <v>231</v>
      </c>
      <c r="B163" s="1">
        <v>45750</v>
      </c>
      <c r="C163" t="s">
        <v>35</v>
      </c>
      <c r="D163" t="s">
        <v>20</v>
      </c>
      <c r="E163">
        <v>52</v>
      </c>
      <c r="F163" t="s">
        <v>68</v>
      </c>
      <c r="G163" t="s">
        <v>36</v>
      </c>
      <c r="H163" t="s">
        <v>76</v>
      </c>
      <c r="I163" t="s">
        <v>71</v>
      </c>
      <c r="J163" t="s">
        <v>32</v>
      </c>
      <c r="K163">
        <v>3</v>
      </c>
      <c r="L163">
        <v>10000</v>
      </c>
      <c r="M163">
        <v>15</v>
      </c>
      <c r="N163">
        <v>25500</v>
      </c>
      <c r="O163">
        <v>18000</v>
      </c>
      <c r="P163">
        <v>7500</v>
      </c>
      <c r="Q163" t="s">
        <v>26</v>
      </c>
      <c r="R163" t="s">
        <v>33</v>
      </c>
    </row>
    <row r="164" spans="1:18" x14ac:dyDescent="0.2">
      <c r="A164" t="s">
        <v>232</v>
      </c>
      <c r="B164" s="1">
        <v>45929</v>
      </c>
      <c r="C164" t="s">
        <v>40</v>
      </c>
      <c r="D164" t="s">
        <v>41</v>
      </c>
      <c r="E164">
        <v>35</v>
      </c>
      <c r="F164" t="s">
        <v>21</v>
      </c>
      <c r="G164" t="s">
        <v>50</v>
      </c>
      <c r="H164" t="s">
        <v>57</v>
      </c>
      <c r="I164" t="s">
        <v>45</v>
      </c>
      <c r="J164" t="s">
        <v>95</v>
      </c>
      <c r="K164">
        <v>3</v>
      </c>
      <c r="L164">
        <v>14000</v>
      </c>
      <c r="M164">
        <v>0</v>
      </c>
      <c r="N164">
        <v>42000</v>
      </c>
      <c r="O164">
        <v>25500</v>
      </c>
      <c r="P164">
        <v>16500</v>
      </c>
      <c r="Q164" t="s">
        <v>47</v>
      </c>
      <c r="R164" t="s">
        <v>33</v>
      </c>
    </row>
    <row r="165" spans="1:18" x14ac:dyDescent="0.2">
      <c r="A165" t="s">
        <v>233</v>
      </c>
      <c r="B165" s="1">
        <v>45962</v>
      </c>
      <c r="C165" t="s">
        <v>91</v>
      </c>
      <c r="D165" t="s">
        <v>20</v>
      </c>
      <c r="E165">
        <v>22</v>
      </c>
      <c r="F165" t="s">
        <v>21</v>
      </c>
      <c r="G165" t="s">
        <v>69</v>
      </c>
      <c r="H165" t="s">
        <v>70</v>
      </c>
      <c r="I165" t="s">
        <v>31</v>
      </c>
      <c r="J165" t="s">
        <v>52</v>
      </c>
      <c r="K165">
        <v>2</v>
      </c>
      <c r="L165">
        <v>22000</v>
      </c>
      <c r="M165">
        <v>0</v>
      </c>
      <c r="N165">
        <v>44000</v>
      </c>
      <c r="O165">
        <v>28000</v>
      </c>
      <c r="P165">
        <v>16000</v>
      </c>
      <c r="Q165" t="s">
        <v>26</v>
      </c>
      <c r="R165" t="s">
        <v>33</v>
      </c>
    </row>
    <row r="166" spans="1:18" x14ac:dyDescent="0.2">
      <c r="A166" t="s">
        <v>234</v>
      </c>
      <c r="B166" s="1">
        <v>45944</v>
      </c>
      <c r="C166" t="s">
        <v>56</v>
      </c>
      <c r="D166" t="s">
        <v>20</v>
      </c>
      <c r="E166">
        <v>32</v>
      </c>
      <c r="F166" t="s">
        <v>21</v>
      </c>
      <c r="G166" t="s">
        <v>36</v>
      </c>
      <c r="H166" t="s">
        <v>76</v>
      </c>
      <c r="I166" t="s">
        <v>24</v>
      </c>
      <c r="J166" t="s">
        <v>52</v>
      </c>
      <c r="K166">
        <v>1</v>
      </c>
      <c r="L166">
        <v>10000</v>
      </c>
      <c r="M166">
        <v>0</v>
      </c>
      <c r="N166">
        <v>10000</v>
      </c>
      <c r="O166">
        <v>6000</v>
      </c>
      <c r="P166">
        <v>4000</v>
      </c>
      <c r="Q166" t="s">
        <v>47</v>
      </c>
      <c r="R166" t="s">
        <v>27</v>
      </c>
    </row>
    <row r="167" spans="1:18" x14ac:dyDescent="0.2">
      <c r="A167" t="s">
        <v>235</v>
      </c>
      <c r="B167" s="1">
        <v>46020</v>
      </c>
      <c r="C167" t="s">
        <v>91</v>
      </c>
      <c r="D167" t="s">
        <v>41</v>
      </c>
      <c r="E167">
        <v>41</v>
      </c>
      <c r="F167" t="s">
        <v>42</v>
      </c>
      <c r="G167" t="s">
        <v>69</v>
      </c>
      <c r="H167" t="s">
        <v>82</v>
      </c>
      <c r="I167" t="s">
        <v>45</v>
      </c>
      <c r="J167" t="s">
        <v>32</v>
      </c>
      <c r="K167">
        <v>2</v>
      </c>
      <c r="L167">
        <v>25000</v>
      </c>
      <c r="M167">
        <v>15</v>
      </c>
      <c r="N167">
        <v>42500</v>
      </c>
      <c r="O167">
        <v>34000</v>
      </c>
      <c r="P167">
        <v>8500</v>
      </c>
      <c r="Q167" t="s">
        <v>26</v>
      </c>
      <c r="R167" t="s">
        <v>33</v>
      </c>
    </row>
    <row r="168" spans="1:18" x14ac:dyDescent="0.2">
      <c r="A168" t="s">
        <v>236</v>
      </c>
      <c r="B168" s="1">
        <v>45739</v>
      </c>
      <c r="C168" t="s">
        <v>40</v>
      </c>
      <c r="D168" t="s">
        <v>20</v>
      </c>
      <c r="E168">
        <v>29</v>
      </c>
      <c r="F168" t="s">
        <v>21</v>
      </c>
      <c r="G168" t="s">
        <v>36</v>
      </c>
      <c r="H168" t="s">
        <v>76</v>
      </c>
      <c r="I168" t="s">
        <v>71</v>
      </c>
      <c r="J168" t="s">
        <v>32</v>
      </c>
      <c r="K168">
        <v>1</v>
      </c>
      <c r="L168">
        <v>10000</v>
      </c>
      <c r="M168">
        <v>0</v>
      </c>
      <c r="N168">
        <v>10000</v>
      </c>
      <c r="O168">
        <v>6000</v>
      </c>
      <c r="P168">
        <v>4000</v>
      </c>
      <c r="Q168" t="s">
        <v>47</v>
      </c>
      <c r="R168" t="s">
        <v>38</v>
      </c>
    </row>
    <row r="169" spans="1:18" x14ac:dyDescent="0.2">
      <c r="A169" t="s">
        <v>237</v>
      </c>
      <c r="B169" s="1">
        <v>45940</v>
      </c>
      <c r="C169" t="s">
        <v>81</v>
      </c>
      <c r="D169" t="s">
        <v>41</v>
      </c>
      <c r="E169">
        <v>36</v>
      </c>
      <c r="F169" t="s">
        <v>30</v>
      </c>
      <c r="G169" t="s">
        <v>22</v>
      </c>
      <c r="H169" t="s">
        <v>74</v>
      </c>
      <c r="I169" t="s">
        <v>24</v>
      </c>
      <c r="J169" t="s">
        <v>66</v>
      </c>
      <c r="K169">
        <v>3</v>
      </c>
      <c r="L169">
        <v>18000</v>
      </c>
      <c r="M169">
        <v>10</v>
      </c>
      <c r="N169">
        <v>48600</v>
      </c>
      <c r="O169">
        <v>33000</v>
      </c>
      <c r="P169">
        <v>15600</v>
      </c>
      <c r="Q169" t="s">
        <v>47</v>
      </c>
      <c r="R169" t="s">
        <v>58</v>
      </c>
    </row>
    <row r="170" spans="1:18" x14ac:dyDescent="0.2">
      <c r="A170" t="s">
        <v>238</v>
      </c>
      <c r="B170" s="1">
        <v>46016</v>
      </c>
      <c r="C170" t="s">
        <v>19</v>
      </c>
      <c r="D170" t="s">
        <v>41</v>
      </c>
      <c r="E170">
        <v>21</v>
      </c>
      <c r="F170" t="s">
        <v>30</v>
      </c>
      <c r="G170" t="s">
        <v>43</v>
      </c>
      <c r="H170" t="s">
        <v>44</v>
      </c>
      <c r="I170" t="s">
        <v>31</v>
      </c>
      <c r="J170" t="s">
        <v>32</v>
      </c>
      <c r="K170">
        <v>1</v>
      </c>
      <c r="L170">
        <v>20000</v>
      </c>
      <c r="M170">
        <v>5</v>
      </c>
      <c r="N170">
        <v>19000</v>
      </c>
      <c r="O170">
        <v>12000</v>
      </c>
      <c r="P170">
        <v>7000</v>
      </c>
      <c r="Q170" t="s">
        <v>26</v>
      </c>
      <c r="R170" t="s">
        <v>38</v>
      </c>
    </row>
    <row r="171" spans="1:18" x14ac:dyDescent="0.2">
      <c r="A171" t="s">
        <v>239</v>
      </c>
      <c r="B171" s="1">
        <v>45829</v>
      </c>
      <c r="C171" t="s">
        <v>62</v>
      </c>
      <c r="D171" t="s">
        <v>41</v>
      </c>
      <c r="E171">
        <v>35</v>
      </c>
      <c r="F171" t="s">
        <v>68</v>
      </c>
      <c r="G171" t="s">
        <v>50</v>
      </c>
      <c r="H171" t="s">
        <v>57</v>
      </c>
      <c r="I171" t="s">
        <v>71</v>
      </c>
      <c r="J171" t="s">
        <v>46</v>
      </c>
      <c r="K171">
        <v>1</v>
      </c>
      <c r="L171">
        <v>14000</v>
      </c>
      <c r="M171">
        <v>0</v>
      </c>
      <c r="N171">
        <v>14000</v>
      </c>
      <c r="O171">
        <v>8500</v>
      </c>
      <c r="P171">
        <v>5500</v>
      </c>
      <c r="Q171" t="s">
        <v>47</v>
      </c>
      <c r="R171" t="s">
        <v>58</v>
      </c>
    </row>
    <row r="172" spans="1:18" x14ac:dyDescent="0.2">
      <c r="A172" t="s">
        <v>240</v>
      </c>
      <c r="B172" s="1">
        <v>45881</v>
      </c>
      <c r="C172" t="s">
        <v>89</v>
      </c>
      <c r="D172" t="s">
        <v>20</v>
      </c>
      <c r="E172">
        <v>46</v>
      </c>
      <c r="F172" t="s">
        <v>30</v>
      </c>
      <c r="G172" t="s">
        <v>43</v>
      </c>
      <c r="H172" t="s">
        <v>60</v>
      </c>
      <c r="I172" t="s">
        <v>24</v>
      </c>
      <c r="J172" t="s">
        <v>95</v>
      </c>
      <c r="K172">
        <v>3</v>
      </c>
      <c r="L172">
        <v>15000</v>
      </c>
      <c r="M172">
        <v>0</v>
      </c>
      <c r="N172">
        <v>45000</v>
      </c>
      <c r="O172">
        <v>27000</v>
      </c>
      <c r="P172">
        <v>18000</v>
      </c>
      <c r="Q172" t="s">
        <v>64</v>
      </c>
      <c r="R172" t="s">
        <v>58</v>
      </c>
    </row>
    <row r="173" spans="1:18" x14ac:dyDescent="0.2">
      <c r="A173" t="s">
        <v>241</v>
      </c>
      <c r="B173" s="1">
        <v>45680</v>
      </c>
      <c r="C173" t="s">
        <v>91</v>
      </c>
      <c r="D173" t="s">
        <v>41</v>
      </c>
      <c r="E173">
        <v>32</v>
      </c>
      <c r="F173" t="s">
        <v>49</v>
      </c>
      <c r="G173" t="s">
        <v>22</v>
      </c>
      <c r="H173" t="s">
        <v>74</v>
      </c>
      <c r="I173" t="s">
        <v>24</v>
      </c>
      <c r="J173" t="s">
        <v>52</v>
      </c>
      <c r="K173">
        <v>4</v>
      </c>
      <c r="L173">
        <v>18000</v>
      </c>
      <c r="M173">
        <v>5</v>
      </c>
      <c r="N173">
        <v>68400</v>
      </c>
      <c r="O173">
        <v>44000</v>
      </c>
      <c r="P173">
        <v>24400</v>
      </c>
      <c r="Q173" t="s">
        <v>64</v>
      </c>
      <c r="R173" t="s">
        <v>27</v>
      </c>
    </row>
    <row r="174" spans="1:18" x14ac:dyDescent="0.2">
      <c r="A174" t="s">
        <v>242</v>
      </c>
      <c r="B174" s="1">
        <v>45856</v>
      </c>
      <c r="C174" t="s">
        <v>73</v>
      </c>
      <c r="D174" t="s">
        <v>41</v>
      </c>
      <c r="E174">
        <v>25</v>
      </c>
      <c r="F174" t="s">
        <v>42</v>
      </c>
      <c r="G174" t="s">
        <v>50</v>
      </c>
      <c r="H174" t="s">
        <v>51</v>
      </c>
      <c r="I174" t="s">
        <v>24</v>
      </c>
      <c r="J174" t="s">
        <v>46</v>
      </c>
      <c r="K174">
        <v>2</v>
      </c>
      <c r="L174">
        <v>16000</v>
      </c>
      <c r="M174">
        <v>10</v>
      </c>
      <c r="N174">
        <v>28800</v>
      </c>
      <c r="O174">
        <v>20000</v>
      </c>
      <c r="P174">
        <v>8800</v>
      </c>
      <c r="Q174" t="s">
        <v>64</v>
      </c>
      <c r="R174" t="s">
        <v>27</v>
      </c>
    </row>
    <row r="175" spans="1:18" x14ac:dyDescent="0.2">
      <c r="A175" t="s">
        <v>243</v>
      </c>
      <c r="B175" s="1">
        <v>45994</v>
      </c>
      <c r="C175" t="s">
        <v>81</v>
      </c>
      <c r="D175" t="s">
        <v>41</v>
      </c>
      <c r="E175">
        <v>22</v>
      </c>
      <c r="F175" t="s">
        <v>49</v>
      </c>
      <c r="G175" t="s">
        <v>69</v>
      </c>
      <c r="H175" t="s">
        <v>70</v>
      </c>
      <c r="I175" t="s">
        <v>71</v>
      </c>
      <c r="J175" t="s">
        <v>32</v>
      </c>
      <c r="K175">
        <v>4</v>
      </c>
      <c r="L175">
        <v>22000</v>
      </c>
      <c r="M175">
        <v>10</v>
      </c>
      <c r="N175">
        <v>79200</v>
      </c>
      <c r="O175">
        <v>56000</v>
      </c>
      <c r="P175">
        <v>23200</v>
      </c>
      <c r="Q175" t="s">
        <v>64</v>
      </c>
      <c r="R175" t="s">
        <v>38</v>
      </c>
    </row>
    <row r="176" spans="1:18" x14ac:dyDescent="0.2">
      <c r="A176" t="s">
        <v>244</v>
      </c>
      <c r="B176" s="1">
        <v>45850</v>
      </c>
      <c r="C176" t="s">
        <v>19</v>
      </c>
      <c r="D176" t="s">
        <v>41</v>
      </c>
      <c r="E176">
        <v>43</v>
      </c>
      <c r="F176" t="s">
        <v>21</v>
      </c>
      <c r="G176" t="s">
        <v>50</v>
      </c>
      <c r="H176" t="s">
        <v>57</v>
      </c>
      <c r="I176" t="s">
        <v>45</v>
      </c>
      <c r="J176" t="s">
        <v>52</v>
      </c>
      <c r="K176">
        <v>3</v>
      </c>
      <c r="L176">
        <v>14000</v>
      </c>
      <c r="M176">
        <v>15</v>
      </c>
      <c r="N176">
        <v>35700</v>
      </c>
      <c r="O176">
        <v>25500</v>
      </c>
      <c r="P176">
        <v>10200</v>
      </c>
      <c r="Q176" t="s">
        <v>26</v>
      </c>
      <c r="R176" t="s">
        <v>58</v>
      </c>
    </row>
    <row r="177" spans="1:18" x14ac:dyDescent="0.2">
      <c r="A177" t="s">
        <v>245</v>
      </c>
      <c r="B177" s="1">
        <v>45990</v>
      </c>
      <c r="C177" t="s">
        <v>89</v>
      </c>
      <c r="D177" t="s">
        <v>41</v>
      </c>
      <c r="E177">
        <v>48</v>
      </c>
      <c r="F177" t="s">
        <v>21</v>
      </c>
      <c r="G177" t="s">
        <v>50</v>
      </c>
      <c r="H177" t="s">
        <v>51</v>
      </c>
      <c r="I177" t="s">
        <v>31</v>
      </c>
      <c r="J177" t="s">
        <v>46</v>
      </c>
      <c r="K177">
        <v>4</v>
      </c>
      <c r="L177">
        <v>16000</v>
      </c>
      <c r="M177">
        <v>0</v>
      </c>
      <c r="N177">
        <v>64000</v>
      </c>
      <c r="O177">
        <v>40000</v>
      </c>
      <c r="P177">
        <v>24000</v>
      </c>
      <c r="Q177" t="s">
        <v>26</v>
      </c>
      <c r="R177" t="s">
        <v>27</v>
      </c>
    </row>
    <row r="178" spans="1:18" x14ac:dyDescent="0.2">
      <c r="A178" t="s">
        <v>246</v>
      </c>
      <c r="B178" s="1">
        <v>45843</v>
      </c>
      <c r="C178" t="s">
        <v>19</v>
      </c>
      <c r="D178" t="s">
        <v>41</v>
      </c>
      <c r="E178">
        <v>29</v>
      </c>
      <c r="F178" t="s">
        <v>21</v>
      </c>
      <c r="G178" t="s">
        <v>22</v>
      </c>
      <c r="H178" t="s">
        <v>23</v>
      </c>
      <c r="I178" t="s">
        <v>31</v>
      </c>
      <c r="J178" t="s">
        <v>25</v>
      </c>
      <c r="K178">
        <v>1</v>
      </c>
      <c r="L178">
        <v>15000</v>
      </c>
      <c r="M178">
        <v>10</v>
      </c>
      <c r="N178">
        <v>13500</v>
      </c>
      <c r="O178">
        <v>9000</v>
      </c>
      <c r="P178">
        <v>4500</v>
      </c>
      <c r="Q178" t="s">
        <v>26</v>
      </c>
      <c r="R178" t="s">
        <v>27</v>
      </c>
    </row>
    <row r="179" spans="1:18" x14ac:dyDescent="0.2">
      <c r="A179" t="s">
        <v>247</v>
      </c>
      <c r="B179" s="1">
        <v>45796</v>
      </c>
      <c r="C179" t="s">
        <v>91</v>
      </c>
      <c r="D179" t="s">
        <v>41</v>
      </c>
      <c r="E179">
        <v>32</v>
      </c>
      <c r="F179" t="s">
        <v>49</v>
      </c>
      <c r="G179" t="s">
        <v>36</v>
      </c>
      <c r="H179" t="s">
        <v>37</v>
      </c>
      <c r="I179" t="s">
        <v>45</v>
      </c>
      <c r="J179" t="s">
        <v>46</v>
      </c>
      <c r="K179">
        <v>3</v>
      </c>
      <c r="L179">
        <v>8000</v>
      </c>
      <c r="M179">
        <v>5</v>
      </c>
      <c r="N179">
        <v>22800</v>
      </c>
      <c r="O179">
        <v>13500</v>
      </c>
      <c r="P179">
        <v>9300</v>
      </c>
      <c r="Q179" t="s">
        <v>47</v>
      </c>
      <c r="R179" t="s">
        <v>33</v>
      </c>
    </row>
    <row r="180" spans="1:18" x14ac:dyDescent="0.2">
      <c r="A180" t="s">
        <v>248</v>
      </c>
      <c r="B180" s="1">
        <v>45898</v>
      </c>
      <c r="C180" t="s">
        <v>78</v>
      </c>
      <c r="D180" t="s">
        <v>41</v>
      </c>
      <c r="E180">
        <v>31</v>
      </c>
      <c r="F180" t="s">
        <v>42</v>
      </c>
      <c r="G180" t="s">
        <v>22</v>
      </c>
      <c r="H180" t="s">
        <v>23</v>
      </c>
      <c r="I180" t="s">
        <v>45</v>
      </c>
      <c r="J180" t="s">
        <v>52</v>
      </c>
      <c r="K180">
        <v>4</v>
      </c>
      <c r="L180">
        <v>15000</v>
      </c>
      <c r="M180">
        <v>15</v>
      </c>
      <c r="N180">
        <v>51000</v>
      </c>
      <c r="O180">
        <v>36000</v>
      </c>
      <c r="P180">
        <v>15000</v>
      </c>
      <c r="Q180" t="s">
        <v>47</v>
      </c>
      <c r="R180" t="s">
        <v>33</v>
      </c>
    </row>
    <row r="181" spans="1:18" x14ac:dyDescent="0.2">
      <c r="A181" t="s">
        <v>249</v>
      </c>
      <c r="B181" s="1">
        <v>45833</v>
      </c>
      <c r="C181" t="s">
        <v>81</v>
      </c>
      <c r="D181" t="s">
        <v>20</v>
      </c>
      <c r="E181">
        <v>54</v>
      </c>
      <c r="F181" t="s">
        <v>30</v>
      </c>
      <c r="G181" t="s">
        <v>50</v>
      </c>
      <c r="H181" t="s">
        <v>51</v>
      </c>
      <c r="I181" t="s">
        <v>24</v>
      </c>
      <c r="J181" t="s">
        <v>66</v>
      </c>
      <c r="K181">
        <v>2</v>
      </c>
      <c r="L181">
        <v>16000</v>
      </c>
      <c r="M181">
        <v>10</v>
      </c>
      <c r="N181">
        <v>28800</v>
      </c>
      <c r="O181">
        <v>20000</v>
      </c>
      <c r="P181">
        <v>8800</v>
      </c>
      <c r="Q181" t="s">
        <v>64</v>
      </c>
      <c r="R181" t="s">
        <v>38</v>
      </c>
    </row>
    <row r="182" spans="1:18" x14ac:dyDescent="0.2">
      <c r="A182" t="s">
        <v>250</v>
      </c>
      <c r="B182" s="1">
        <v>45817</v>
      </c>
      <c r="C182" t="s">
        <v>81</v>
      </c>
      <c r="D182" t="s">
        <v>41</v>
      </c>
      <c r="E182">
        <v>42</v>
      </c>
      <c r="F182" t="s">
        <v>21</v>
      </c>
      <c r="G182" t="s">
        <v>43</v>
      </c>
      <c r="H182" t="s">
        <v>60</v>
      </c>
      <c r="I182" t="s">
        <v>45</v>
      </c>
      <c r="J182" t="s">
        <v>46</v>
      </c>
      <c r="K182">
        <v>1</v>
      </c>
      <c r="L182">
        <v>15000</v>
      </c>
      <c r="M182">
        <v>5</v>
      </c>
      <c r="N182">
        <v>14250</v>
      </c>
      <c r="O182">
        <v>9000</v>
      </c>
      <c r="P182">
        <v>5250</v>
      </c>
      <c r="Q182" t="s">
        <v>47</v>
      </c>
      <c r="R182" t="s">
        <v>58</v>
      </c>
    </row>
    <row r="183" spans="1:18" x14ac:dyDescent="0.2">
      <c r="A183" t="s">
        <v>251</v>
      </c>
      <c r="B183" s="1">
        <v>46022</v>
      </c>
      <c r="C183" t="s">
        <v>78</v>
      </c>
      <c r="D183" t="s">
        <v>20</v>
      </c>
      <c r="E183">
        <v>32</v>
      </c>
      <c r="F183" t="s">
        <v>30</v>
      </c>
      <c r="G183" t="s">
        <v>50</v>
      </c>
      <c r="H183" t="s">
        <v>51</v>
      </c>
      <c r="I183" t="s">
        <v>71</v>
      </c>
      <c r="J183" t="s">
        <v>32</v>
      </c>
      <c r="K183">
        <v>2</v>
      </c>
      <c r="L183">
        <v>16000</v>
      </c>
      <c r="M183">
        <v>15</v>
      </c>
      <c r="N183">
        <v>27200</v>
      </c>
      <c r="O183">
        <v>20000</v>
      </c>
      <c r="P183">
        <v>7200</v>
      </c>
      <c r="Q183" t="s">
        <v>64</v>
      </c>
      <c r="R183" t="s">
        <v>27</v>
      </c>
    </row>
    <row r="184" spans="1:18" x14ac:dyDescent="0.2">
      <c r="A184" t="s">
        <v>252</v>
      </c>
      <c r="B184" s="1">
        <v>45934</v>
      </c>
      <c r="C184" t="s">
        <v>35</v>
      </c>
      <c r="D184" t="s">
        <v>20</v>
      </c>
      <c r="E184">
        <v>27</v>
      </c>
      <c r="F184" t="s">
        <v>21</v>
      </c>
      <c r="G184" t="s">
        <v>69</v>
      </c>
      <c r="H184" t="s">
        <v>82</v>
      </c>
      <c r="I184" t="s">
        <v>31</v>
      </c>
      <c r="J184" t="s">
        <v>32</v>
      </c>
      <c r="K184">
        <v>4</v>
      </c>
      <c r="L184">
        <v>25000</v>
      </c>
      <c r="M184">
        <v>5</v>
      </c>
      <c r="N184">
        <v>95000</v>
      </c>
      <c r="O184">
        <v>68000</v>
      </c>
      <c r="P184">
        <v>27000</v>
      </c>
      <c r="Q184" t="s">
        <v>47</v>
      </c>
      <c r="R184" t="s">
        <v>38</v>
      </c>
    </row>
    <row r="185" spans="1:18" x14ac:dyDescent="0.2">
      <c r="A185" t="s">
        <v>253</v>
      </c>
      <c r="B185" s="1">
        <v>45976</v>
      </c>
      <c r="C185" t="s">
        <v>35</v>
      </c>
      <c r="D185" t="s">
        <v>20</v>
      </c>
      <c r="E185">
        <v>34</v>
      </c>
      <c r="F185" t="s">
        <v>42</v>
      </c>
      <c r="G185" t="s">
        <v>69</v>
      </c>
      <c r="H185" t="s">
        <v>70</v>
      </c>
      <c r="I185" t="s">
        <v>45</v>
      </c>
      <c r="J185" t="s">
        <v>46</v>
      </c>
      <c r="K185">
        <v>2</v>
      </c>
      <c r="L185">
        <v>22000</v>
      </c>
      <c r="M185">
        <v>10</v>
      </c>
      <c r="N185">
        <v>39600</v>
      </c>
      <c r="O185">
        <v>28000</v>
      </c>
      <c r="P185">
        <v>11600</v>
      </c>
      <c r="Q185" t="s">
        <v>26</v>
      </c>
      <c r="R185" t="s">
        <v>58</v>
      </c>
    </row>
    <row r="186" spans="1:18" x14ac:dyDescent="0.2">
      <c r="A186" t="s">
        <v>254</v>
      </c>
      <c r="B186" s="1">
        <v>45913</v>
      </c>
      <c r="C186" t="s">
        <v>81</v>
      </c>
      <c r="D186" t="s">
        <v>41</v>
      </c>
      <c r="E186">
        <v>45</v>
      </c>
      <c r="F186" t="s">
        <v>21</v>
      </c>
      <c r="G186" t="s">
        <v>22</v>
      </c>
      <c r="H186" t="s">
        <v>23</v>
      </c>
      <c r="I186" t="s">
        <v>71</v>
      </c>
      <c r="J186" t="s">
        <v>52</v>
      </c>
      <c r="K186">
        <v>4</v>
      </c>
      <c r="L186">
        <v>15000</v>
      </c>
      <c r="M186">
        <v>0</v>
      </c>
      <c r="N186">
        <v>60000</v>
      </c>
      <c r="O186">
        <v>36000</v>
      </c>
      <c r="P186">
        <v>24000</v>
      </c>
      <c r="Q186" t="s">
        <v>64</v>
      </c>
      <c r="R186" t="s">
        <v>38</v>
      </c>
    </row>
    <row r="187" spans="1:18" x14ac:dyDescent="0.2">
      <c r="A187" t="s">
        <v>255</v>
      </c>
      <c r="B187" s="1">
        <v>45831</v>
      </c>
      <c r="C187" t="s">
        <v>73</v>
      </c>
      <c r="D187" t="s">
        <v>20</v>
      </c>
      <c r="E187">
        <v>24</v>
      </c>
      <c r="F187" t="s">
        <v>30</v>
      </c>
      <c r="G187" t="s">
        <v>36</v>
      </c>
      <c r="H187" t="s">
        <v>37</v>
      </c>
      <c r="I187" t="s">
        <v>71</v>
      </c>
      <c r="J187" t="s">
        <v>46</v>
      </c>
      <c r="K187">
        <v>3</v>
      </c>
      <c r="L187">
        <v>8000</v>
      </c>
      <c r="M187">
        <v>15</v>
      </c>
      <c r="N187">
        <v>20400</v>
      </c>
      <c r="O187">
        <v>13500</v>
      </c>
      <c r="P187">
        <v>6900</v>
      </c>
      <c r="Q187" t="s">
        <v>47</v>
      </c>
      <c r="R187" t="s">
        <v>27</v>
      </c>
    </row>
    <row r="188" spans="1:18" x14ac:dyDescent="0.2">
      <c r="A188" t="s">
        <v>256</v>
      </c>
      <c r="B188" s="1">
        <v>45825</v>
      </c>
      <c r="C188" t="s">
        <v>35</v>
      </c>
      <c r="D188" t="s">
        <v>41</v>
      </c>
      <c r="E188">
        <v>27</v>
      </c>
      <c r="F188" t="s">
        <v>68</v>
      </c>
      <c r="G188" t="s">
        <v>43</v>
      </c>
      <c r="H188" t="s">
        <v>60</v>
      </c>
      <c r="I188" t="s">
        <v>45</v>
      </c>
      <c r="J188" t="s">
        <v>66</v>
      </c>
      <c r="K188">
        <v>2</v>
      </c>
      <c r="L188">
        <v>15000</v>
      </c>
      <c r="M188">
        <v>15</v>
      </c>
      <c r="N188">
        <v>25500</v>
      </c>
      <c r="O188">
        <v>18000</v>
      </c>
      <c r="P188">
        <v>7500</v>
      </c>
      <c r="Q188" t="s">
        <v>26</v>
      </c>
      <c r="R188" t="s">
        <v>38</v>
      </c>
    </row>
    <row r="189" spans="1:18" x14ac:dyDescent="0.2">
      <c r="A189" t="s">
        <v>257</v>
      </c>
      <c r="B189" s="1">
        <v>45909</v>
      </c>
      <c r="C189" t="s">
        <v>35</v>
      </c>
      <c r="D189" t="s">
        <v>20</v>
      </c>
      <c r="E189">
        <v>34</v>
      </c>
      <c r="F189" t="s">
        <v>49</v>
      </c>
      <c r="G189" t="s">
        <v>22</v>
      </c>
      <c r="H189" t="s">
        <v>74</v>
      </c>
      <c r="I189" t="s">
        <v>45</v>
      </c>
      <c r="J189" t="s">
        <v>95</v>
      </c>
      <c r="K189">
        <v>4</v>
      </c>
      <c r="L189">
        <v>18000</v>
      </c>
      <c r="M189">
        <v>5</v>
      </c>
      <c r="N189">
        <v>68400</v>
      </c>
      <c r="O189">
        <v>44000</v>
      </c>
      <c r="P189">
        <v>24400</v>
      </c>
      <c r="Q189" t="s">
        <v>26</v>
      </c>
      <c r="R189" t="s">
        <v>58</v>
      </c>
    </row>
    <row r="190" spans="1:18" x14ac:dyDescent="0.2">
      <c r="A190" t="s">
        <v>258</v>
      </c>
      <c r="B190" s="1">
        <v>45949</v>
      </c>
      <c r="C190" t="s">
        <v>78</v>
      </c>
      <c r="D190" t="s">
        <v>20</v>
      </c>
      <c r="E190">
        <v>20</v>
      </c>
      <c r="F190" t="s">
        <v>68</v>
      </c>
      <c r="G190" t="s">
        <v>22</v>
      </c>
      <c r="H190" t="s">
        <v>74</v>
      </c>
      <c r="I190" t="s">
        <v>45</v>
      </c>
      <c r="J190" t="s">
        <v>52</v>
      </c>
      <c r="K190">
        <v>1</v>
      </c>
      <c r="L190">
        <v>18000</v>
      </c>
      <c r="M190">
        <v>15</v>
      </c>
      <c r="N190">
        <v>15300</v>
      </c>
      <c r="O190">
        <v>11000</v>
      </c>
      <c r="P190">
        <v>4300</v>
      </c>
      <c r="Q190" t="s">
        <v>64</v>
      </c>
      <c r="R190" t="s">
        <v>33</v>
      </c>
    </row>
    <row r="191" spans="1:18" x14ac:dyDescent="0.2">
      <c r="A191" t="s">
        <v>259</v>
      </c>
      <c r="B191" s="1">
        <v>45953</v>
      </c>
      <c r="C191" t="s">
        <v>62</v>
      </c>
      <c r="D191" t="s">
        <v>41</v>
      </c>
      <c r="E191">
        <v>28</v>
      </c>
      <c r="F191" t="s">
        <v>68</v>
      </c>
      <c r="G191" t="s">
        <v>43</v>
      </c>
      <c r="H191" t="s">
        <v>60</v>
      </c>
      <c r="I191" t="s">
        <v>71</v>
      </c>
      <c r="J191" t="s">
        <v>66</v>
      </c>
      <c r="K191">
        <v>1</v>
      </c>
      <c r="L191">
        <v>15000</v>
      </c>
      <c r="M191">
        <v>0</v>
      </c>
      <c r="N191">
        <v>15000</v>
      </c>
      <c r="O191">
        <v>9000</v>
      </c>
      <c r="P191">
        <v>6000</v>
      </c>
      <c r="Q191" t="s">
        <v>64</v>
      </c>
      <c r="R191" t="s">
        <v>58</v>
      </c>
    </row>
    <row r="192" spans="1:18" x14ac:dyDescent="0.2">
      <c r="A192" t="s">
        <v>260</v>
      </c>
      <c r="B192" s="1">
        <v>46015</v>
      </c>
      <c r="C192" t="s">
        <v>35</v>
      </c>
      <c r="D192" t="s">
        <v>20</v>
      </c>
      <c r="E192">
        <v>20</v>
      </c>
      <c r="F192" t="s">
        <v>49</v>
      </c>
      <c r="G192" t="s">
        <v>43</v>
      </c>
      <c r="H192" t="s">
        <v>44</v>
      </c>
      <c r="I192" t="s">
        <v>24</v>
      </c>
      <c r="J192" t="s">
        <v>95</v>
      </c>
      <c r="K192">
        <v>4</v>
      </c>
      <c r="L192">
        <v>20000</v>
      </c>
      <c r="M192">
        <v>5</v>
      </c>
      <c r="N192">
        <v>76000</v>
      </c>
      <c r="O192">
        <v>48000</v>
      </c>
      <c r="P192">
        <v>28000</v>
      </c>
      <c r="Q192" t="s">
        <v>26</v>
      </c>
      <c r="R192" t="s">
        <v>58</v>
      </c>
    </row>
    <row r="193" spans="1:18" x14ac:dyDescent="0.2">
      <c r="A193" t="s">
        <v>261</v>
      </c>
      <c r="B193" s="1">
        <v>45815</v>
      </c>
      <c r="C193" t="s">
        <v>54</v>
      </c>
      <c r="D193" t="s">
        <v>41</v>
      </c>
      <c r="E193">
        <v>32</v>
      </c>
      <c r="F193" t="s">
        <v>49</v>
      </c>
      <c r="G193" t="s">
        <v>22</v>
      </c>
      <c r="H193" t="s">
        <v>23</v>
      </c>
      <c r="I193" t="s">
        <v>31</v>
      </c>
      <c r="J193" t="s">
        <v>46</v>
      </c>
      <c r="K193">
        <v>4</v>
      </c>
      <c r="L193">
        <v>15000</v>
      </c>
      <c r="M193">
        <v>5</v>
      </c>
      <c r="N193">
        <v>57000</v>
      </c>
      <c r="O193">
        <v>36000</v>
      </c>
      <c r="P193">
        <v>21000</v>
      </c>
      <c r="Q193" t="s">
        <v>47</v>
      </c>
      <c r="R193" t="s">
        <v>58</v>
      </c>
    </row>
    <row r="194" spans="1:18" x14ac:dyDescent="0.2">
      <c r="A194" t="s">
        <v>262</v>
      </c>
      <c r="B194" s="1">
        <v>45961</v>
      </c>
      <c r="C194" t="s">
        <v>19</v>
      </c>
      <c r="D194" t="s">
        <v>20</v>
      </c>
      <c r="E194">
        <v>20</v>
      </c>
      <c r="F194" t="s">
        <v>49</v>
      </c>
      <c r="G194" t="s">
        <v>36</v>
      </c>
      <c r="H194" t="s">
        <v>76</v>
      </c>
      <c r="I194" t="s">
        <v>71</v>
      </c>
      <c r="J194" t="s">
        <v>32</v>
      </c>
      <c r="K194">
        <v>2</v>
      </c>
      <c r="L194">
        <v>10000</v>
      </c>
      <c r="M194">
        <v>15</v>
      </c>
      <c r="N194">
        <v>17000</v>
      </c>
      <c r="O194">
        <v>12000</v>
      </c>
      <c r="P194">
        <v>5000</v>
      </c>
      <c r="Q194" t="s">
        <v>47</v>
      </c>
      <c r="R194" t="s">
        <v>38</v>
      </c>
    </row>
    <row r="195" spans="1:18" x14ac:dyDescent="0.2">
      <c r="A195" t="s">
        <v>263</v>
      </c>
      <c r="B195" s="1">
        <v>45663</v>
      </c>
      <c r="C195" t="s">
        <v>81</v>
      </c>
      <c r="D195" t="s">
        <v>20</v>
      </c>
      <c r="E195">
        <v>23</v>
      </c>
      <c r="F195" t="s">
        <v>42</v>
      </c>
      <c r="G195" t="s">
        <v>22</v>
      </c>
      <c r="H195" t="s">
        <v>23</v>
      </c>
      <c r="I195" t="s">
        <v>24</v>
      </c>
      <c r="J195" t="s">
        <v>95</v>
      </c>
      <c r="K195">
        <v>4</v>
      </c>
      <c r="L195">
        <v>15000</v>
      </c>
      <c r="M195">
        <v>5</v>
      </c>
      <c r="N195">
        <v>57000</v>
      </c>
      <c r="O195">
        <v>36000</v>
      </c>
      <c r="P195">
        <v>21000</v>
      </c>
      <c r="Q195" t="s">
        <v>47</v>
      </c>
      <c r="R195" t="s">
        <v>27</v>
      </c>
    </row>
    <row r="196" spans="1:18" x14ac:dyDescent="0.2">
      <c r="A196" t="s">
        <v>264</v>
      </c>
      <c r="B196" s="1">
        <v>45679</v>
      </c>
      <c r="C196" t="s">
        <v>91</v>
      </c>
      <c r="D196" t="s">
        <v>20</v>
      </c>
      <c r="E196">
        <v>34</v>
      </c>
      <c r="F196" t="s">
        <v>21</v>
      </c>
      <c r="G196" t="s">
        <v>50</v>
      </c>
      <c r="H196" t="s">
        <v>57</v>
      </c>
      <c r="I196" t="s">
        <v>71</v>
      </c>
      <c r="J196" t="s">
        <v>52</v>
      </c>
      <c r="K196">
        <v>2</v>
      </c>
      <c r="L196">
        <v>14000</v>
      </c>
      <c r="M196">
        <v>15</v>
      </c>
      <c r="N196">
        <v>23800</v>
      </c>
      <c r="O196">
        <v>17000</v>
      </c>
      <c r="P196">
        <v>6800</v>
      </c>
      <c r="Q196" t="s">
        <v>64</v>
      </c>
      <c r="R196" t="s">
        <v>33</v>
      </c>
    </row>
    <row r="197" spans="1:18" x14ac:dyDescent="0.2">
      <c r="A197" t="s">
        <v>265</v>
      </c>
      <c r="B197" s="1">
        <v>45699</v>
      </c>
      <c r="C197" t="s">
        <v>35</v>
      </c>
      <c r="D197" t="s">
        <v>41</v>
      </c>
      <c r="E197">
        <v>42</v>
      </c>
      <c r="F197" t="s">
        <v>21</v>
      </c>
      <c r="G197" t="s">
        <v>50</v>
      </c>
      <c r="H197" t="s">
        <v>57</v>
      </c>
      <c r="I197" t="s">
        <v>45</v>
      </c>
      <c r="J197" t="s">
        <v>95</v>
      </c>
      <c r="K197">
        <v>1</v>
      </c>
      <c r="L197">
        <v>14000</v>
      </c>
      <c r="M197">
        <v>15</v>
      </c>
      <c r="N197">
        <v>11900</v>
      </c>
      <c r="O197">
        <v>8500</v>
      </c>
      <c r="P197">
        <v>3400</v>
      </c>
      <c r="Q197" t="s">
        <v>47</v>
      </c>
      <c r="R197" t="s">
        <v>38</v>
      </c>
    </row>
    <row r="198" spans="1:18" x14ac:dyDescent="0.2">
      <c r="A198" t="s">
        <v>266</v>
      </c>
      <c r="B198" s="1">
        <v>45729</v>
      </c>
      <c r="C198" t="s">
        <v>81</v>
      </c>
      <c r="D198" t="s">
        <v>41</v>
      </c>
      <c r="E198">
        <v>55</v>
      </c>
      <c r="F198" t="s">
        <v>21</v>
      </c>
      <c r="G198" t="s">
        <v>36</v>
      </c>
      <c r="H198" t="s">
        <v>76</v>
      </c>
      <c r="I198" t="s">
        <v>24</v>
      </c>
      <c r="J198" t="s">
        <v>25</v>
      </c>
      <c r="K198">
        <v>4</v>
      </c>
      <c r="L198">
        <v>10000</v>
      </c>
      <c r="M198">
        <v>0</v>
      </c>
      <c r="N198">
        <v>40000</v>
      </c>
      <c r="O198">
        <v>24000</v>
      </c>
      <c r="P198">
        <v>16000</v>
      </c>
      <c r="Q198" t="s">
        <v>47</v>
      </c>
      <c r="R198" t="s">
        <v>27</v>
      </c>
    </row>
    <row r="199" spans="1:18" x14ac:dyDescent="0.2">
      <c r="A199" t="s">
        <v>267</v>
      </c>
      <c r="B199" s="1">
        <v>45801</v>
      </c>
      <c r="C199" t="s">
        <v>81</v>
      </c>
      <c r="D199" t="s">
        <v>20</v>
      </c>
      <c r="E199">
        <v>41</v>
      </c>
      <c r="F199" t="s">
        <v>68</v>
      </c>
      <c r="G199" t="s">
        <v>69</v>
      </c>
      <c r="H199" t="s">
        <v>82</v>
      </c>
      <c r="I199" t="s">
        <v>45</v>
      </c>
      <c r="J199" t="s">
        <v>32</v>
      </c>
      <c r="K199">
        <v>3</v>
      </c>
      <c r="L199">
        <v>25000</v>
      </c>
      <c r="M199">
        <v>10</v>
      </c>
      <c r="N199">
        <v>67500</v>
      </c>
      <c r="O199">
        <v>51000</v>
      </c>
      <c r="P199">
        <v>16500</v>
      </c>
      <c r="Q199" t="s">
        <v>26</v>
      </c>
      <c r="R199" t="s">
        <v>33</v>
      </c>
    </row>
    <row r="200" spans="1:18" x14ac:dyDescent="0.2">
      <c r="A200" t="s">
        <v>268</v>
      </c>
      <c r="B200" s="1">
        <v>45745</v>
      </c>
      <c r="C200" t="s">
        <v>35</v>
      </c>
      <c r="D200" t="s">
        <v>20</v>
      </c>
      <c r="E200">
        <v>42</v>
      </c>
      <c r="F200" t="s">
        <v>68</v>
      </c>
      <c r="G200" t="s">
        <v>69</v>
      </c>
      <c r="H200" t="s">
        <v>70</v>
      </c>
      <c r="I200" t="s">
        <v>45</v>
      </c>
      <c r="J200" t="s">
        <v>32</v>
      </c>
      <c r="K200">
        <v>1</v>
      </c>
      <c r="L200">
        <v>22000</v>
      </c>
      <c r="M200">
        <v>10</v>
      </c>
      <c r="N200">
        <v>19800</v>
      </c>
      <c r="O200">
        <v>14000</v>
      </c>
      <c r="P200">
        <v>5800</v>
      </c>
      <c r="Q200" t="s">
        <v>47</v>
      </c>
      <c r="R200" t="s">
        <v>27</v>
      </c>
    </row>
    <row r="201" spans="1:18" x14ac:dyDescent="0.2">
      <c r="A201" t="s">
        <v>269</v>
      </c>
      <c r="B201" s="1">
        <v>45720</v>
      </c>
      <c r="C201" t="s">
        <v>56</v>
      </c>
      <c r="D201" t="s">
        <v>20</v>
      </c>
      <c r="E201">
        <v>21</v>
      </c>
      <c r="F201" t="s">
        <v>30</v>
      </c>
      <c r="G201" t="s">
        <v>36</v>
      </c>
      <c r="H201" t="s">
        <v>76</v>
      </c>
      <c r="I201" t="s">
        <v>31</v>
      </c>
      <c r="J201" t="s">
        <v>25</v>
      </c>
      <c r="K201">
        <v>4</v>
      </c>
      <c r="L201">
        <v>10000</v>
      </c>
      <c r="M201">
        <v>5</v>
      </c>
      <c r="N201">
        <v>38000</v>
      </c>
      <c r="O201">
        <v>24000</v>
      </c>
      <c r="P201">
        <v>14000</v>
      </c>
      <c r="Q201" t="s">
        <v>64</v>
      </c>
      <c r="R201" t="s">
        <v>58</v>
      </c>
    </row>
    <row r="202" spans="1:18" x14ac:dyDescent="0.2">
      <c r="A202" t="s">
        <v>270</v>
      </c>
      <c r="B202" s="1">
        <v>45950</v>
      </c>
      <c r="C202" t="s">
        <v>40</v>
      </c>
      <c r="D202" t="s">
        <v>41</v>
      </c>
      <c r="E202">
        <v>22</v>
      </c>
      <c r="F202" t="s">
        <v>30</v>
      </c>
      <c r="G202" t="s">
        <v>69</v>
      </c>
      <c r="H202" t="s">
        <v>82</v>
      </c>
      <c r="I202" t="s">
        <v>31</v>
      </c>
      <c r="J202" t="s">
        <v>52</v>
      </c>
      <c r="K202">
        <v>4</v>
      </c>
      <c r="L202">
        <v>25000</v>
      </c>
      <c r="M202">
        <v>10</v>
      </c>
      <c r="N202">
        <v>90000</v>
      </c>
      <c r="O202">
        <v>68000</v>
      </c>
      <c r="P202">
        <v>22000</v>
      </c>
      <c r="Q202" t="s">
        <v>26</v>
      </c>
      <c r="R202" t="s">
        <v>33</v>
      </c>
    </row>
    <row r="203" spans="1:18" x14ac:dyDescent="0.2">
      <c r="A203" t="s">
        <v>271</v>
      </c>
      <c r="B203" s="1">
        <v>45702</v>
      </c>
      <c r="C203" t="s">
        <v>19</v>
      </c>
      <c r="D203" t="s">
        <v>41</v>
      </c>
      <c r="E203">
        <v>54</v>
      </c>
      <c r="F203" t="s">
        <v>30</v>
      </c>
      <c r="G203" t="s">
        <v>22</v>
      </c>
      <c r="H203" t="s">
        <v>23</v>
      </c>
      <c r="I203" t="s">
        <v>24</v>
      </c>
      <c r="J203" t="s">
        <v>32</v>
      </c>
      <c r="K203">
        <v>3</v>
      </c>
      <c r="L203">
        <v>15000</v>
      </c>
      <c r="M203">
        <v>10</v>
      </c>
      <c r="N203">
        <v>40500</v>
      </c>
      <c r="O203">
        <v>27000</v>
      </c>
      <c r="P203">
        <v>13500</v>
      </c>
      <c r="Q203" t="s">
        <v>47</v>
      </c>
      <c r="R203" t="s">
        <v>33</v>
      </c>
    </row>
    <row r="204" spans="1:18" x14ac:dyDescent="0.2">
      <c r="A204" t="s">
        <v>272</v>
      </c>
      <c r="B204" s="1">
        <v>45965</v>
      </c>
      <c r="C204" t="s">
        <v>62</v>
      </c>
      <c r="D204" t="s">
        <v>41</v>
      </c>
      <c r="E204">
        <v>45</v>
      </c>
      <c r="F204" t="s">
        <v>30</v>
      </c>
      <c r="G204" t="s">
        <v>22</v>
      </c>
      <c r="H204" t="s">
        <v>74</v>
      </c>
      <c r="I204" t="s">
        <v>71</v>
      </c>
      <c r="J204" t="s">
        <v>52</v>
      </c>
      <c r="K204">
        <v>4</v>
      </c>
      <c r="L204">
        <v>18000</v>
      </c>
      <c r="M204">
        <v>15</v>
      </c>
      <c r="N204">
        <v>61200</v>
      </c>
      <c r="O204">
        <v>44000</v>
      </c>
      <c r="P204">
        <v>17200</v>
      </c>
      <c r="Q204" t="s">
        <v>26</v>
      </c>
      <c r="R204" t="s">
        <v>33</v>
      </c>
    </row>
    <row r="205" spans="1:18" x14ac:dyDescent="0.2">
      <c r="A205" t="s">
        <v>273</v>
      </c>
      <c r="B205" s="1">
        <v>45750</v>
      </c>
      <c r="C205" t="s">
        <v>78</v>
      </c>
      <c r="D205" t="s">
        <v>20</v>
      </c>
      <c r="E205">
        <v>32</v>
      </c>
      <c r="F205" t="s">
        <v>30</v>
      </c>
      <c r="G205" t="s">
        <v>50</v>
      </c>
      <c r="H205" t="s">
        <v>57</v>
      </c>
      <c r="I205" t="s">
        <v>45</v>
      </c>
      <c r="J205" t="s">
        <v>95</v>
      </c>
      <c r="K205">
        <v>1</v>
      </c>
      <c r="L205">
        <v>14000</v>
      </c>
      <c r="M205">
        <v>10</v>
      </c>
      <c r="N205">
        <v>12600</v>
      </c>
      <c r="O205">
        <v>8500</v>
      </c>
      <c r="P205">
        <v>4100</v>
      </c>
      <c r="Q205" t="s">
        <v>26</v>
      </c>
      <c r="R205" t="s">
        <v>27</v>
      </c>
    </row>
    <row r="206" spans="1:18" x14ac:dyDescent="0.2">
      <c r="A206" t="s">
        <v>274</v>
      </c>
      <c r="B206" s="1">
        <v>45917</v>
      </c>
      <c r="C206" t="s">
        <v>54</v>
      </c>
      <c r="D206" t="s">
        <v>41</v>
      </c>
      <c r="E206">
        <v>45</v>
      </c>
      <c r="F206" t="s">
        <v>68</v>
      </c>
      <c r="G206" t="s">
        <v>43</v>
      </c>
      <c r="H206" t="s">
        <v>60</v>
      </c>
      <c r="I206" t="s">
        <v>71</v>
      </c>
      <c r="J206" t="s">
        <v>46</v>
      </c>
      <c r="K206">
        <v>2</v>
      </c>
      <c r="L206">
        <v>15000</v>
      </c>
      <c r="M206">
        <v>15</v>
      </c>
      <c r="N206">
        <v>25500</v>
      </c>
      <c r="O206">
        <v>18000</v>
      </c>
      <c r="P206">
        <v>7500</v>
      </c>
      <c r="Q206" t="s">
        <v>64</v>
      </c>
      <c r="R206" t="s">
        <v>33</v>
      </c>
    </row>
    <row r="207" spans="1:18" x14ac:dyDescent="0.2">
      <c r="A207" t="s">
        <v>275</v>
      </c>
      <c r="B207" s="1">
        <v>46012</v>
      </c>
      <c r="C207" t="s">
        <v>40</v>
      </c>
      <c r="D207" t="s">
        <v>20</v>
      </c>
      <c r="E207">
        <v>53</v>
      </c>
      <c r="F207" t="s">
        <v>49</v>
      </c>
      <c r="G207" t="s">
        <v>50</v>
      </c>
      <c r="H207" t="s">
        <v>57</v>
      </c>
      <c r="I207" t="s">
        <v>31</v>
      </c>
      <c r="J207" t="s">
        <v>25</v>
      </c>
      <c r="K207">
        <v>2</v>
      </c>
      <c r="L207">
        <v>14000</v>
      </c>
      <c r="M207">
        <v>5</v>
      </c>
      <c r="N207">
        <v>26600</v>
      </c>
      <c r="O207">
        <v>17000</v>
      </c>
      <c r="P207">
        <v>9600</v>
      </c>
      <c r="Q207" t="s">
        <v>26</v>
      </c>
      <c r="R207" t="s">
        <v>38</v>
      </c>
    </row>
    <row r="208" spans="1:18" x14ac:dyDescent="0.2">
      <c r="A208" t="s">
        <v>276</v>
      </c>
      <c r="B208" s="1">
        <v>45883</v>
      </c>
      <c r="C208" t="s">
        <v>62</v>
      </c>
      <c r="D208" t="s">
        <v>20</v>
      </c>
      <c r="E208">
        <v>41</v>
      </c>
      <c r="F208" t="s">
        <v>30</v>
      </c>
      <c r="G208" t="s">
        <v>43</v>
      </c>
      <c r="H208" t="s">
        <v>60</v>
      </c>
      <c r="I208" t="s">
        <v>45</v>
      </c>
      <c r="J208" t="s">
        <v>52</v>
      </c>
      <c r="K208">
        <v>4</v>
      </c>
      <c r="L208">
        <v>15000</v>
      </c>
      <c r="M208">
        <v>0</v>
      </c>
      <c r="N208">
        <v>60000</v>
      </c>
      <c r="O208">
        <v>36000</v>
      </c>
      <c r="P208">
        <v>24000</v>
      </c>
      <c r="Q208" t="s">
        <v>64</v>
      </c>
      <c r="R208" t="s">
        <v>38</v>
      </c>
    </row>
    <row r="209" spans="1:18" x14ac:dyDescent="0.2">
      <c r="A209" t="s">
        <v>277</v>
      </c>
      <c r="B209" s="1">
        <v>45658</v>
      </c>
      <c r="C209" t="s">
        <v>29</v>
      </c>
      <c r="D209" t="s">
        <v>20</v>
      </c>
      <c r="E209">
        <v>47</v>
      </c>
      <c r="F209" t="s">
        <v>42</v>
      </c>
      <c r="G209" t="s">
        <v>22</v>
      </c>
      <c r="H209" t="s">
        <v>23</v>
      </c>
      <c r="I209" t="s">
        <v>31</v>
      </c>
      <c r="J209" t="s">
        <v>46</v>
      </c>
      <c r="K209">
        <v>4</v>
      </c>
      <c r="L209">
        <v>15000</v>
      </c>
      <c r="M209">
        <v>10</v>
      </c>
      <c r="N209">
        <v>54000</v>
      </c>
      <c r="O209">
        <v>36000</v>
      </c>
      <c r="P209">
        <v>18000</v>
      </c>
      <c r="Q209" t="s">
        <v>64</v>
      </c>
      <c r="R209" t="s">
        <v>58</v>
      </c>
    </row>
    <row r="210" spans="1:18" x14ac:dyDescent="0.2">
      <c r="A210" t="s">
        <v>278</v>
      </c>
      <c r="B210" s="1">
        <v>45926</v>
      </c>
      <c r="C210" t="s">
        <v>86</v>
      </c>
      <c r="D210" t="s">
        <v>41</v>
      </c>
      <c r="E210">
        <v>23</v>
      </c>
      <c r="F210" t="s">
        <v>21</v>
      </c>
      <c r="G210" t="s">
        <v>50</v>
      </c>
      <c r="H210" t="s">
        <v>51</v>
      </c>
      <c r="I210" t="s">
        <v>71</v>
      </c>
      <c r="J210" t="s">
        <v>95</v>
      </c>
      <c r="K210">
        <v>2</v>
      </c>
      <c r="L210">
        <v>16000</v>
      </c>
      <c r="M210">
        <v>0</v>
      </c>
      <c r="N210">
        <v>32000</v>
      </c>
      <c r="O210">
        <v>20000</v>
      </c>
      <c r="P210">
        <v>12000</v>
      </c>
      <c r="Q210" t="s">
        <v>26</v>
      </c>
      <c r="R210" t="s">
        <v>58</v>
      </c>
    </row>
    <row r="211" spans="1:18" x14ac:dyDescent="0.2">
      <c r="A211" t="s">
        <v>279</v>
      </c>
      <c r="B211" s="1">
        <v>46008</v>
      </c>
      <c r="C211" t="s">
        <v>62</v>
      </c>
      <c r="D211" t="s">
        <v>20</v>
      </c>
      <c r="E211">
        <v>49</v>
      </c>
      <c r="F211" t="s">
        <v>42</v>
      </c>
      <c r="G211" t="s">
        <v>69</v>
      </c>
      <c r="H211" t="s">
        <v>70</v>
      </c>
      <c r="I211" t="s">
        <v>45</v>
      </c>
      <c r="J211" t="s">
        <v>25</v>
      </c>
      <c r="K211">
        <v>3</v>
      </c>
      <c r="L211">
        <v>22000</v>
      </c>
      <c r="M211">
        <v>10</v>
      </c>
      <c r="N211">
        <v>59400</v>
      </c>
      <c r="O211">
        <v>42000</v>
      </c>
      <c r="P211">
        <v>17400</v>
      </c>
      <c r="Q211" t="s">
        <v>64</v>
      </c>
      <c r="R211" t="s">
        <v>38</v>
      </c>
    </row>
    <row r="212" spans="1:18" x14ac:dyDescent="0.2">
      <c r="A212" t="s">
        <v>280</v>
      </c>
      <c r="B212" s="1">
        <v>45865</v>
      </c>
      <c r="C212" t="s">
        <v>81</v>
      </c>
      <c r="D212" t="s">
        <v>20</v>
      </c>
      <c r="E212">
        <v>29</v>
      </c>
      <c r="F212" t="s">
        <v>21</v>
      </c>
      <c r="G212" t="s">
        <v>50</v>
      </c>
      <c r="H212" t="s">
        <v>51</v>
      </c>
      <c r="I212" t="s">
        <v>31</v>
      </c>
      <c r="J212" t="s">
        <v>46</v>
      </c>
      <c r="K212">
        <v>2</v>
      </c>
      <c r="L212">
        <v>16000</v>
      </c>
      <c r="M212">
        <v>5</v>
      </c>
      <c r="N212">
        <v>30400</v>
      </c>
      <c r="O212">
        <v>20000</v>
      </c>
      <c r="P212">
        <v>10400</v>
      </c>
      <c r="Q212" t="s">
        <v>64</v>
      </c>
      <c r="R212" t="s">
        <v>33</v>
      </c>
    </row>
    <row r="213" spans="1:18" x14ac:dyDescent="0.2">
      <c r="A213" t="s">
        <v>281</v>
      </c>
      <c r="B213" s="1">
        <v>45710</v>
      </c>
      <c r="C213" t="s">
        <v>73</v>
      </c>
      <c r="D213" t="s">
        <v>41</v>
      </c>
      <c r="E213">
        <v>49</v>
      </c>
      <c r="F213" t="s">
        <v>42</v>
      </c>
      <c r="G213" t="s">
        <v>69</v>
      </c>
      <c r="H213" t="s">
        <v>70</v>
      </c>
      <c r="I213" t="s">
        <v>45</v>
      </c>
      <c r="J213" t="s">
        <v>52</v>
      </c>
      <c r="K213">
        <v>2</v>
      </c>
      <c r="L213">
        <v>22000</v>
      </c>
      <c r="M213">
        <v>15</v>
      </c>
      <c r="N213">
        <v>37400</v>
      </c>
      <c r="O213">
        <v>28000</v>
      </c>
      <c r="P213">
        <v>9400</v>
      </c>
      <c r="Q213" t="s">
        <v>64</v>
      </c>
      <c r="R213" t="s">
        <v>27</v>
      </c>
    </row>
    <row r="214" spans="1:18" x14ac:dyDescent="0.2">
      <c r="A214" t="s">
        <v>282</v>
      </c>
      <c r="B214" s="1">
        <v>45696</v>
      </c>
      <c r="C214" t="s">
        <v>78</v>
      </c>
      <c r="D214" t="s">
        <v>41</v>
      </c>
      <c r="E214">
        <v>51</v>
      </c>
      <c r="F214" t="s">
        <v>68</v>
      </c>
      <c r="G214" t="s">
        <v>36</v>
      </c>
      <c r="H214" t="s">
        <v>37</v>
      </c>
      <c r="I214" t="s">
        <v>71</v>
      </c>
      <c r="J214" t="s">
        <v>52</v>
      </c>
      <c r="K214">
        <v>4</v>
      </c>
      <c r="L214">
        <v>8000</v>
      </c>
      <c r="M214">
        <v>15</v>
      </c>
      <c r="N214">
        <v>27200</v>
      </c>
      <c r="O214">
        <v>18000</v>
      </c>
      <c r="P214">
        <v>9200</v>
      </c>
      <c r="Q214" t="s">
        <v>47</v>
      </c>
      <c r="R214" t="s">
        <v>27</v>
      </c>
    </row>
    <row r="215" spans="1:18" x14ac:dyDescent="0.2">
      <c r="A215" t="s">
        <v>283</v>
      </c>
      <c r="B215" s="1">
        <v>45894</v>
      </c>
      <c r="C215" t="s">
        <v>29</v>
      </c>
      <c r="D215" t="s">
        <v>41</v>
      </c>
      <c r="E215">
        <v>54</v>
      </c>
      <c r="F215" t="s">
        <v>49</v>
      </c>
      <c r="G215" t="s">
        <v>22</v>
      </c>
      <c r="H215" t="s">
        <v>23</v>
      </c>
      <c r="I215" t="s">
        <v>71</v>
      </c>
      <c r="J215" t="s">
        <v>66</v>
      </c>
      <c r="K215">
        <v>1</v>
      </c>
      <c r="L215">
        <v>15000</v>
      </c>
      <c r="M215">
        <v>15</v>
      </c>
      <c r="N215">
        <v>12750</v>
      </c>
      <c r="O215">
        <v>9000</v>
      </c>
      <c r="P215">
        <v>3750</v>
      </c>
      <c r="Q215" t="s">
        <v>64</v>
      </c>
      <c r="R215" t="s">
        <v>38</v>
      </c>
    </row>
    <row r="216" spans="1:18" x14ac:dyDescent="0.2">
      <c r="A216" t="s">
        <v>284</v>
      </c>
      <c r="B216" s="1">
        <v>45910</v>
      </c>
      <c r="C216" t="s">
        <v>73</v>
      </c>
      <c r="D216" t="s">
        <v>41</v>
      </c>
      <c r="E216">
        <v>32</v>
      </c>
      <c r="F216" t="s">
        <v>21</v>
      </c>
      <c r="G216" t="s">
        <v>36</v>
      </c>
      <c r="H216" t="s">
        <v>37</v>
      </c>
      <c r="I216" t="s">
        <v>24</v>
      </c>
      <c r="J216" t="s">
        <v>66</v>
      </c>
      <c r="K216">
        <v>4</v>
      </c>
      <c r="L216">
        <v>8000</v>
      </c>
      <c r="M216">
        <v>0</v>
      </c>
      <c r="N216">
        <v>32000</v>
      </c>
      <c r="O216">
        <v>18000</v>
      </c>
      <c r="P216">
        <v>14000</v>
      </c>
      <c r="Q216" t="s">
        <v>47</v>
      </c>
      <c r="R216" t="s">
        <v>33</v>
      </c>
    </row>
    <row r="217" spans="1:18" x14ac:dyDescent="0.2">
      <c r="A217" t="s">
        <v>285</v>
      </c>
      <c r="B217" s="1">
        <v>46015</v>
      </c>
      <c r="C217" t="s">
        <v>19</v>
      </c>
      <c r="D217" t="s">
        <v>41</v>
      </c>
      <c r="E217">
        <v>25</v>
      </c>
      <c r="F217" t="s">
        <v>30</v>
      </c>
      <c r="G217" t="s">
        <v>43</v>
      </c>
      <c r="H217" t="s">
        <v>60</v>
      </c>
      <c r="I217" t="s">
        <v>71</v>
      </c>
      <c r="J217" t="s">
        <v>66</v>
      </c>
      <c r="K217">
        <v>1</v>
      </c>
      <c r="L217">
        <v>15000</v>
      </c>
      <c r="M217">
        <v>10</v>
      </c>
      <c r="N217">
        <v>13500</v>
      </c>
      <c r="O217">
        <v>9000</v>
      </c>
      <c r="P217">
        <v>4500</v>
      </c>
      <c r="Q217" t="s">
        <v>26</v>
      </c>
      <c r="R217" t="s">
        <v>38</v>
      </c>
    </row>
    <row r="218" spans="1:18" x14ac:dyDescent="0.2">
      <c r="A218" t="s">
        <v>286</v>
      </c>
      <c r="B218" s="1">
        <v>45917</v>
      </c>
      <c r="C218" t="s">
        <v>89</v>
      </c>
      <c r="D218" t="s">
        <v>41</v>
      </c>
      <c r="E218">
        <v>55</v>
      </c>
      <c r="F218" t="s">
        <v>21</v>
      </c>
      <c r="G218" t="s">
        <v>50</v>
      </c>
      <c r="H218" t="s">
        <v>57</v>
      </c>
      <c r="I218" t="s">
        <v>24</v>
      </c>
      <c r="J218" t="s">
        <v>52</v>
      </c>
      <c r="K218">
        <v>4</v>
      </c>
      <c r="L218">
        <v>14000</v>
      </c>
      <c r="M218">
        <v>5</v>
      </c>
      <c r="N218">
        <v>53200</v>
      </c>
      <c r="O218">
        <v>34000</v>
      </c>
      <c r="P218">
        <v>19200</v>
      </c>
      <c r="Q218" t="s">
        <v>26</v>
      </c>
      <c r="R218" t="s">
        <v>58</v>
      </c>
    </row>
    <row r="219" spans="1:18" x14ac:dyDescent="0.2">
      <c r="A219" t="s">
        <v>287</v>
      </c>
      <c r="B219" s="1">
        <v>45678</v>
      </c>
      <c r="C219" t="s">
        <v>73</v>
      </c>
      <c r="D219" t="s">
        <v>20</v>
      </c>
      <c r="E219">
        <v>45</v>
      </c>
      <c r="F219" t="s">
        <v>49</v>
      </c>
      <c r="G219" t="s">
        <v>50</v>
      </c>
      <c r="H219" t="s">
        <v>51</v>
      </c>
      <c r="I219" t="s">
        <v>45</v>
      </c>
      <c r="J219" t="s">
        <v>25</v>
      </c>
      <c r="K219">
        <v>4</v>
      </c>
      <c r="L219">
        <v>16000</v>
      </c>
      <c r="M219">
        <v>5</v>
      </c>
      <c r="N219">
        <v>60800</v>
      </c>
      <c r="O219">
        <v>40000</v>
      </c>
      <c r="P219">
        <v>20800</v>
      </c>
      <c r="Q219" t="s">
        <v>26</v>
      </c>
      <c r="R219" t="s">
        <v>58</v>
      </c>
    </row>
    <row r="220" spans="1:18" x14ac:dyDescent="0.2">
      <c r="A220" t="s">
        <v>288</v>
      </c>
      <c r="B220" s="1">
        <v>45831</v>
      </c>
      <c r="C220" t="s">
        <v>54</v>
      </c>
      <c r="D220" t="s">
        <v>41</v>
      </c>
      <c r="E220">
        <v>48</v>
      </c>
      <c r="F220" t="s">
        <v>30</v>
      </c>
      <c r="G220" t="s">
        <v>43</v>
      </c>
      <c r="H220" t="s">
        <v>60</v>
      </c>
      <c r="I220" t="s">
        <v>24</v>
      </c>
      <c r="J220" t="s">
        <v>46</v>
      </c>
      <c r="K220">
        <v>1</v>
      </c>
      <c r="L220">
        <v>15000</v>
      </c>
      <c r="M220">
        <v>0</v>
      </c>
      <c r="N220">
        <v>15000</v>
      </c>
      <c r="O220">
        <v>9000</v>
      </c>
      <c r="P220">
        <v>6000</v>
      </c>
      <c r="Q220" t="s">
        <v>47</v>
      </c>
      <c r="R220" t="s">
        <v>58</v>
      </c>
    </row>
    <row r="221" spans="1:18" x14ac:dyDescent="0.2">
      <c r="A221" t="s">
        <v>289</v>
      </c>
      <c r="B221" s="1">
        <v>45672</v>
      </c>
      <c r="C221" t="s">
        <v>73</v>
      </c>
      <c r="D221" t="s">
        <v>20</v>
      </c>
      <c r="E221">
        <v>40</v>
      </c>
      <c r="F221" t="s">
        <v>49</v>
      </c>
      <c r="G221" t="s">
        <v>50</v>
      </c>
      <c r="H221" t="s">
        <v>51</v>
      </c>
      <c r="I221" t="s">
        <v>71</v>
      </c>
      <c r="J221" t="s">
        <v>95</v>
      </c>
      <c r="K221">
        <v>4</v>
      </c>
      <c r="L221">
        <v>16000</v>
      </c>
      <c r="M221">
        <v>10</v>
      </c>
      <c r="N221">
        <v>57600</v>
      </c>
      <c r="O221">
        <v>40000</v>
      </c>
      <c r="P221">
        <v>17600</v>
      </c>
      <c r="Q221" t="s">
        <v>64</v>
      </c>
      <c r="R221" t="s">
        <v>33</v>
      </c>
    </row>
    <row r="222" spans="1:18" x14ac:dyDescent="0.2">
      <c r="A222" t="s">
        <v>290</v>
      </c>
      <c r="B222" s="1">
        <v>45714</v>
      </c>
      <c r="C222" t="s">
        <v>19</v>
      </c>
      <c r="D222" t="s">
        <v>41</v>
      </c>
      <c r="E222">
        <v>46</v>
      </c>
      <c r="F222" t="s">
        <v>42</v>
      </c>
      <c r="G222" t="s">
        <v>22</v>
      </c>
      <c r="H222" t="s">
        <v>74</v>
      </c>
      <c r="I222" t="s">
        <v>71</v>
      </c>
      <c r="J222" t="s">
        <v>52</v>
      </c>
      <c r="K222">
        <v>4</v>
      </c>
      <c r="L222">
        <v>18000</v>
      </c>
      <c r="M222">
        <v>5</v>
      </c>
      <c r="N222">
        <v>68400</v>
      </c>
      <c r="O222">
        <v>44000</v>
      </c>
      <c r="P222">
        <v>24400</v>
      </c>
      <c r="Q222" t="s">
        <v>47</v>
      </c>
      <c r="R222" t="s">
        <v>38</v>
      </c>
    </row>
    <row r="223" spans="1:18" x14ac:dyDescent="0.2">
      <c r="A223" t="s">
        <v>291</v>
      </c>
      <c r="B223" s="1">
        <v>45828</v>
      </c>
      <c r="C223" t="s">
        <v>86</v>
      </c>
      <c r="D223" t="s">
        <v>20</v>
      </c>
      <c r="E223">
        <v>46</v>
      </c>
      <c r="F223" t="s">
        <v>68</v>
      </c>
      <c r="G223" t="s">
        <v>50</v>
      </c>
      <c r="H223" t="s">
        <v>57</v>
      </c>
      <c r="I223" t="s">
        <v>24</v>
      </c>
      <c r="J223" t="s">
        <v>46</v>
      </c>
      <c r="K223">
        <v>4</v>
      </c>
      <c r="L223">
        <v>14000</v>
      </c>
      <c r="M223">
        <v>0</v>
      </c>
      <c r="N223">
        <v>56000</v>
      </c>
      <c r="O223">
        <v>34000</v>
      </c>
      <c r="P223">
        <v>22000</v>
      </c>
      <c r="Q223" t="s">
        <v>47</v>
      </c>
      <c r="R223" t="s">
        <v>58</v>
      </c>
    </row>
    <row r="224" spans="1:18" x14ac:dyDescent="0.2">
      <c r="A224" t="s">
        <v>292</v>
      </c>
      <c r="B224" s="1">
        <v>46017</v>
      </c>
      <c r="C224" t="s">
        <v>62</v>
      </c>
      <c r="D224" t="s">
        <v>20</v>
      </c>
      <c r="E224">
        <v>50</v>
      </c>
      <c r="F224" t="s">
        <v>42</v>
      </c>
      <c r="G224" t="s">
        <v>36</v>
      </c>
      <c r="H224" t="s">
        <v>76</v>
      </c>
      <c r="I224" t="s">
        <v>45</v>
      </c>
      <c r="J224" t="s">
        <v>52</v>
      </c>
      <c r="K224">
        <v>1</v>
      </c>
      <c r="L224">
        <v>10000</v>
      </c>
      <c r="M224">
        <v>10</v>
      </c>
      <c r="N224">
        <v>9000</v>
      </c>
      <c r="O224">
        <v>6000</v>
      </c>
      <c r="P224">
        <v>3000</v>
      </c>
      <c r="Q224" t="s">
        <v>26</v>
      </c>
      <c r="R224" t="s">
        <v>27</v>
      </c>
    </row>
    <row r="225" spans="1:18" x14ac:dyDescent="0.2">
      <c r="A225" t="s">
        <v>293</v>
      </c>
      <c r="B225" s="1">
        <v>45958</v>
      </c>
      <c r="C225" t="s">
        <v>29</v>
      </c>
      <c r="D225" t="s">
        <v>20</v>
      </c>
      <c r="E225">
        <v>32</v>
      </c>
      <c r="F225" t="s">
        <v>21</v>
      </c>
      <c r="G225" t="s">
        <v>22</v>
      </c>
      <c r="H225" t="s">
        <v>23</v>
      </c>
      <c r="I225" t="s">
        <v>45</v>
      </c>
      <c r="J225" t="s">
        <v>46</v>
      </c>
      <c r="K225">
        <v>4</v>
      </c>
      <c r="L225">
        <v>15000</v>
      </c>
      <c r="M225">
        <v>10</v>
      </c>
      <c r="N225">
        <v>54000</v>
      </c>
      <c r="O225">
        <v>36000</v>
      </c>
      <c r="P225">
        <v>18000</v>
      </c>
      <c r="Q225" t="s">
        <v>64</v>
      </c>
      <c r="R225" t="s">
        <v>27</v>
      </c>
    </row>
    <row r="226" spans="1:18" x14ac:dyDescent="0.2">
      <c r="A226" t="s">
        <v>294</v>
      </c>
      <c r="B226" s="1">
        <v>45674</v>
      </c>
      <c r="C226" t="s">
        <v>19</v>
      </c>
      <c r="D226" t="s">
        <v>20</v>
      </c>
      <c r="E226">
        <v>48</v>
      </c>
      <c r="F226" t="s">
        <v>30</v>
      </c>
      <c r="G226" t="s">
        <v>50</v>
      </c>
      <c r="H226" t="s">
        <v>57</v>
      </c>
      <c r="I226" t="s">
        <v>31</v>
      </c>
      <c r="J226" t="s">
        <v>66</v>
      </c>
      <c r="K226">
        <v>3</v>
      </c>
      <c r="L226">
        <v>14000</v>
      </c>
      <c r="M226">
        <v>0</v>
      </c>
      <c r="N226">
        <v>42000</v>
      </c>
      <c r="O226">
        <v>25500</v>
      </c>
      <c r="P226">
        <v>16500</v>
      </c>
      <c r="Q226" t="s">
        <v>26</v>
      </c>
      <c r="R226" t="s">
        <v>27</v>
      </c>
    </row>
    <row r="227" spans="1:18" x14ac:dyDescent="0.2">
      <c r="A227" t="s">
        <v>295</v>
      </c>
      <c r="B227" s="1">
        <v>45772</v>
      </c>
      <c r="C227" t="s">
        <v>56</v>
      </c>
      <c r="D227" t="s">
        <v>20</v>
      </c>
      <c r="E227">
        <v>50</v>
      </c>
      <c r="F227" t="s">
        <v>68</v>
      </c>
      <c r="G227" t="s">
        <v>22</v>
      </c>
      <c r="H227" t="s">
        <v>23</v>
      </c>
      <c r="I227" t="s">
        <v>24</v>
      </c>
      <c r="J227" t="s">
        <v>46</v>
      </c>
      <c r="K227">
        <v>1</v>
      </c>
      <c r="L227">
        <v>15000</v>
      </c>
      <c r="M227">
        <v>10</v>
      </c>
      <c r="N227">
        <v>13500</v>
      </c>
      <c r="O227">
        <v>9000</v>
      </c>
      <c r="P227">
        <v>4500</v>
      </c>
      <c r="Q227" t="s">
        <v>47</v>
      </c>
      <c r="R227" t="s">
        <v>27</v>
      </c>
    </row>
    <row r="228" spans="1:18" x14ac:dyDescent="0.2">
      <c r="A228" t="s">
        <v>296</v>
      </c>
      <c r="B228" s="1">
        <v>45781</v>
      </c>
      <c r="C228" t="s">
        <v>86</v>
      </c>
      <c r="D228" t="s">
        <v>41</v>
      </c>
      <c r="E228">
        <v>26</v>
      </c>
      <c r="F228" t="s">
        <v>49</v>
      </c>
      <c r="G228" t="s">
        <v>22</v>
      </c>
      <c r="H228" t="s">
        <v>74</v>
      </c>
      <c r="I228" t="s">
        <v>71</v>
      </c>
      <c r="J228" t="s">
        <v>46</v>
      </c>
      <c r="K228">
        <v>4</v>
      </c>
      <c r="L228">
        <v>18000</v>
      </c>
      <c r="M228">
        <v>0</v>
      </c>
      <c r="N228">
        <v>72000</v>
      </c>
      <c r="O228">
        <v>44000</v>
      </c>
      <c r="P228">
        <v>28000</v>
      </c>
      <c r="Q228" t="s">
        <v>26</v>
      </c>
      <c r="R228" t="s">
        <v>58</v>
      </c>
    </row>
    <row r="229" spans="1:18" x14ac:dyDescent="0.2">
      <c r="A229" t="s">
        <v>297</v>
      </c>
      <c r="B229" s="1">
        <v>45703</v>
      </c>
      <c r="C229" t="s">
        <v>19</v>
      </c>
      <c r="D229" t="s">
        <v>20</v>
      </c>
      <c r="E229">
        <v>52</v>
      </c>
      <c r="F229" t="s">
        <v>21</v>
      </c>
      <c r="G229" t="s">
        <v>50</v>
      </c>
      <c r="H229" t="s">
        <v>51</v>
      </c>
      <c r="I229" t="s">
        <v>31</v>
      </c>
      <c r="J229" t="s">
        <v>25</v>
      </c>
      <c r="K229">
        <v>2</v>
      </c>
      <c r="L229">
        <v>16000</v>
      </c>
      <c r="M229">
        <v>10</v>
      </c>
      <c r="N229">
        <v>28800</v>
      </c>
      <c r="O229">
        <v>20000</v>
      </c>
      <c r="P229">
        <v>8800</v>
      </c>
      <c r="Q229" t="s">
        <v>47</v>
      </c>
      <c r="R229" t="s">
        <v>38</v>
      </c>
    </row>
    <row r="230" spans="1:18" x14ac:dyDescent="0.2">
      <c r="A230" t="s">
        <v>298</v>
      </c>
      <c r="B230" s="1">
        <v>45763</v>
      </c>
      <c r="C230" t="s">
        <v>89</v>
      </c>
      <c r="D230" t="s">
        <v>41</v>
      </c>
      <c r="E230">
        <v>26</v>
      </c>
      <c r="F230" t="s">
        <v>49</v>
      </c>
      <c r="G230" t="s">
        <v>50</v>
      </c>
      <c r="H230" t="s">
        <v>51</v>
      </c>
      <c r="I230" t="s">
        <v>24</v>
      </c>
      <c r="J230" t="s">
        <v>32</v>
      </c>
      <c r="K230">
        <v>2</v>
      </c>
      <c r="L230">
        <v>16000</v>
      </c>
      <c r="M230">
        <v>10</v>
      </c>
      <c r="N230">
        <v>28800</v>
      </c>
      <c r="O230">
        <v>20000</v>
      </c>
      <c r="P230">
        <v>8800</v>
      </c>
      <c r="Q230" t="s">
        <v>26</v>
      </c>
      <c r="R230" t="s">
        <v>33</v>
      </c>
    </row>
    <row r="231" spans="1:18" x14ac:dyDescent="0.2">
      <c r="A231" t="s">
        <v>299</v>
      </c>
      <c r="B231" s="1">
        <v>45658</v>
      </c>
      <c r="C231" t="s">
        <v>54</v>
      </c>
      <c r="D231" t="s">
        <v>41</v>
      </c>
      <c r="E231">
        <v>21</v>
      </c>
      <c r="F231" t="s">
        <v>49</v>
      </c>
      <c r="G231" t="s">
        <v>50</v>
      </c>
      <c r="H231" t="s">
        <v>51</v>
      </c>
      <c r="I231" t="s">
        <v>31</v>
      </c>
      <c r="J231" t="s">
        <v>95</v>
      </c>
      <c r="K231">
        <v>1</v>
      </c>
      <c r="L231">
        <v>16000</v>
      </c>
      <c r="M231">
        <v>0</v>
      </c>
      <c r="N231">
        <v>16000</v>
      </c>
      <c r="O231">
        <v>10000</v>
      </c>
      <c r="P231">
        <v>6000</v>
      </c>
      <c r="Q231" t="s">
        <v>47</v>
      </c>
      <c r="R231" t="s">
        <v>33</v>
      </c>
    </row>
    <row r="232" spans="1:18" x14ac:dyDescent="0.2">
      <c r="A232" t="s">
        <v>300</v>
      </c>
      <c r="B232" s="1">
        <v>45696</v>
      </c>
      <c r="C232" t="s">
        <v>40</v>
      </c>
      <c r="D232" t="s">
        <v>20</v>
      </c>
      <c r="E232">
        <v>54</v>
      </c>
      <c r="F232" t="s">
        <v>49</v>
      </c>
      <c r="G232" t="s">
        <v>36</v>
      </c>
      <c r="H232" t="s">
        <v>76</v>
      </c>
      <c r="I232" t="s">
        <v>31</v>
      </c>
      <c r="J232" t="s">
        <v>95</v>
      </c>
      <c r="K232">
        <v>3</v>
      </c>
      <c r="L232">
        <v>10000</v>
      </c>
      <c r="M232">
        <v>10</v>
      </c>
      <c r="N232">
        <v>27000</v>
      </c>
      <c r="O232">
        <v>18000</v>
      </c>
      <c r="P232">
        <v>9000</v>
      </c>
      <c r="Q232" t="s">
        <v>64</v>
      </c>
      <c r="R232" t="s">
        <v>58</v>
      </c>
    </row>
    <row r="233" spans="1:18" x14ac:dyDescent="0.2">
      <c r="A233" t="s">
        <v>301</v>
      </c>
      <c r="B233" s="1">
        <v>45891</v>
      </c>
      <c r="C233" t="s">
        <v>29</v>
      </c>
      <c r="D233" t="s">
        <v>41</v>
      </c>
      <c r="E233">
        <v>27</v>
      </c>
      <c r="F233" t="s">
        <v>21</v>
      </c>
      <c r="G233" t="s">
        <v>43</v>
      </c>
      <c r="H233" t="s">
        <v>60</v>
      </c>
      <c r="I233" t="s">
        <v>45</v>
      </c>
      <c r="J233" t="s">
        <v>52</v>
      </c>
      <c r="K233">
        <v>4</v>
      </c>
      <c r="L233">
        <v>15000</v>
      </c>
      <c r="M233">
        <v>0</v>
      </c>
      <c r="N233">
        <v>60000</v>
      </c>
      <c r="O233">
        <v>36000</v>
      </c>
      <c r="P233">
        <v>24000</v>
      </c>
      <c r="Q233" t="s">
        <v>47</v>
      </c>
      <c r="R233" t="s">
        <v>33</v>
      </c>
    </row>
    <row r="234" spans="1:18" x14ac:dyDescent="0.2">
      <c r="A234" t="s">
        <v>302</v>
      </c>
      <c r="B234" s="1">
        <v>45845</v>
      </c>
      <c r="C234" t="s">
        <v>54</v>
      </c>
      <c r="D234" t="s">
        <v>20</v>
      </c>
      <c r="E234">
        <v>39</v>
      </c>
      <c r="F234" t="s">
        <v>49</v>
      </c>
      <c r="G234" t="s">
        <v>43</v>
      </c>
      <c r="H234" t="s">
        <v>60</v>
      </c>
      <c r="I234" t="s">
        <v>31</v>
      </c>
      <c r="J234" t="s">
        <v>25</v>
      </c>
      <c r="K234">
        <v>3</v>
      </c>
      <c r="L234">
        <v>15000</v>
      </c>
      <c r="M234">
        <v>15</v>
      </c>
      <c r="N234">
        <v>38250</v>
      </c>
      <c r="O234">
        <v>27000</v>
      </c>
      <c r="P234">
        <v>11250</v>
      </c>
      <c r="Q234" t="s">
        <v>47</v>
      </c>
      <c r="R234" t="s">
        <v>58</v>
      </c>
    </row>
    <row r="235" spans="1:18" x14ac:dyDescent="0.2">
      <c r="A235" t="s">
        <v>303</v>
      </c>
      <c r="B235" s="1">
        <v>45711</v>
      </c>
      <c r="C235" t="s">
        <v>81</v>
      </c>
      <c r="D235" t="s">
        <v>20</v>
      </c>
      <c r="E235">
        <v>26</v>
      </c>
      <c r="F235" t="s">
        <v>49</v>
      </c>
      <c r="G235" t="s">
        <v>22</v>
      </c>
      <c r="H235" t="s">
        <v>23</v>
      </c>
      <c r="I235" t="s">
        <v>24</v>
      </c>
      <c r="J235" t="s">
        <v>32</v>
      </c>
      <c r="K235">
        <v>3</v>
      </c>
      <c r="L235">
        <v>15000</v>
      </c>
      <c r="M235">
        <v>10</v>
      </c>
      <c r="N235">
        <v>40500</v>
      </c>
      <c r="O235">
        <v>27000</v>
      </c>
      <c r="P235">
        <v>13500</v>
      </c>
      <c r="Q235" t="s">
        <v>26</v>
      </c>
      <c r="R235" t="s">
        <v>33</v>
      </c>
    </row>
    <row r="236" spans="1:18" x14ac:dyDescent="0.2">
      <c r="A236" t="s">
        <v>304</v>
      </c>
      <c r="B236" s="1">
        <v>45746</v>
      </c>
      <c r="C236" t="s">
        <v>35</v>
      </c>
      <c r="D236" t="s">
        <v>41</v>
      </c>
      <c r="E236">
        <v>53</v>
      </c>
      <c r="F236" t="s">
        <v>21</v>
      </c>
      <c r="G236" t="s">
        <v>69</v>
      </c>
      <c r="H236" t="s">
        <v>70</v>
      </c>
      <c r="I236" t="s">
        <v>71</v>
      </c>
      <c r="J236" t="s">
        <v>66</v>
      </c>
      <c r="K236">
        <v>4</v>
      </c>
      <c r="L236">
        <v>22000</v>
      </c>
      <c r="M236">
        <v>5</v>
      </c>
      <c r="N236">
        <v>83600</v>
      </c>
      <c r="O236">
        <v>56000</v>
      </c>
      <c r="P236">
        <v>27600</v>
      </c>
      <c r="Q236" t="s">
        <v>26</v>
      </c>
      <c r="R236" t="s">
        <v>58</v>
      </c>
    </row>
    <row r="237" spans="1:18" x14ac:dyDescent="0.2">
      <c r="A237" t="s">
        <v>305</v>
      </c>
      <c r="B237" s="1">
        <v>45909</v>
      </c>
      <c r="C237" t="s">
        <v>81</v>
      </c>
      <c r="D237" t="s">
        <v>20</v>
      </c>
      <c r="E237">
        <v>30</v>
      </c>
      <c r="F237" t="s">
        <v>21</v>
      </c>
      <c r="G237" t="s">
        <v>50</v>
      </c>
      <c r="H237" t="s">
        <v>57</v>
      </c>
      <c r="I237" t="s">
        <v>45</v>
      </c>
      <c r="J237" t="s">
        <v>95</v>
      </c>
      <c r="K237">
        <v>1</v>
      </c>
      <c r="L237">
        <v>14000</v>
      </c>
      <c r="M237">
        <v>0</v>
      </c>
      <c r="N237">
        <v>14000</v>
      </c>
      <c r="O237">
        <v>8500</v>
      </c>
      <c r="P237">
        <v>5500</v>
      </c>
      <c r="Q237" t="s">
        <v>64</v>
      </c>
      <c r="R237" t="s">
        <v>58</v>
      </c>
    </row>
    <row r="238" spans="1:18" x14ac:dyDescent="0.2">
      <c r="A238" t="s">
        <v>306</v>
      </c>
      <c r="B238" s="1">
        <v>45817</v>
      </c>
      <c r="C238" t="s">
        <v>54</v>
      </c>
      <c r="D238" t="s">
        <v>20</v>
      </c>
      <c r="E238">
        <v>29</v>
      </c>
      <c r="F238" t="s">
        <v>21</v>
      </c>
      <c r="G238" t="s">
        <v>22</v>
      </c>
      <c r="H238" t="s">
        <v>23</v>
      </c>
      <c r="I238" t="s">
        <v>31</v>
      </c>
      <c r="J238" t="s">
        <v>32</v>
      </c>
      <c r="K238">
        <v>2</v>
      </c>
      <c r="L238">
        <v>15000</v>
      </c>
      <c r="M238">
        <v>15</v>
      </c>
      <c r="N238">
        <v>25500</v>
      </c>
      <c r="O238">
        <v>18000</v>
      </c>
      <c r="P238">
        <v>7500</v>
      </c>
      <c r="Q238" t="s">
        <v>47</v>
      </c>
      <c r="R238" t="s">
        <v>38</v>
      </c>
    </row>
    <row r="239" spans="1:18" x14ac:dyDescent="0.2">
      <c r="A239" t="s">
        <v>307</v>
      </c>
      <c r="B239" s="1">
        <v>45721</v>
      </c>
      <c r="C239" t="s">
        <v>78</v>
      </c>
      <c r="D239" t="s">
        <v>41</v>
      </c>
      <c r="E239">
        <v>48</v>
      </c>
      <c r="F239" t="s">
        <v>49</v>
      </c>
      <c r="G239" t="s">
        <v>50</v>
      </c>
      <c r="H239" t="s">
        <v>57</v>
      </c>
      <c r="I239" t="s">
        <v>45</v>
      </c>
      <c r="J239" t="s">
        <v>25</v>
      </c>
      <c r="K239">
        <v>1</v>
      </c>
      <c r="L239">
        <v>14000</v>
      </c>
      <c r="M239">
        <v>10</v>
      </c>
      <c r="N239">
        <v>12600</v>
      </c>
      <c r="O239">
        <v>8500</v>
      </c>
      <c r="P239">
        <v>4100</v>
      </c>
      <c r="Q239" t="s">
        <v>26</v>
      </c>
      <c r="R239" t="s">
        <v>38</v>
      </c>
    </row>
    <row r="240" spans="1:18" x14ac:dyDescent="0.2">
      <c r="A240" t="s">
        <v>308</v>
      </c>
      <c r="B240" s="1">
        <v>46005</v>
      </c>
      <c r="C240" t="s">
        <v>29</v>
      </c>
      <c r="D240" t="s">
        <v>20</v>
      </c>
      <c r="E240">
        <v>40</v>
      </c>
      <c r="F240" t="s">
        <v>42</v>
      </c>
      <c r="G240" t="s">
        <v>22</v>
      </c>
      <c r="H240" t="s">
        <v>74</v>
      </c>
      <c r="I240" t="s">
        <v>45</v>
      </c>
      <c r="J240" t="s">
        <v>52</v>
      </c>
      <c r="K240">
        <v>2</v>
      </c>
      <c r="L240">
        <v>18000</v>
      </c>
      <c r="M240">
        <v>0</v>
      </c>
      <c r="N240">
        <v>36000</v>
      </c>
      <c r="O240">
        <v>22000</v>
      </c>
      <c r="P240">
        <v>14000</v>
      </c>
      <c r="Q240" t="s">
        <v>64</v>
      </c>
      <c r="R240" t="s">
        <v>58</v>
      </c>
    </row>
    <row r="241" spans="1:18" x14ac:dyDescent="0.2">
      <c r="A241" t="s">
        <v>309</v>
      </c>
      <c r="B241" s="1">
        <v>46015</v>
      </c>
      <c r="C241" t="s">
        <v>40</v>
      </c>
      <c r="D241" t="s">
        <v>20</v>
      </c>
      <c r="E241">
        <v>39</v>
      </c>
      <c r="F241" t="s">
        <v>68</v>
      </c>
      <c r="G241" t="s">
        <v>22</v>
      </c>
      <c r="H241" t="s">
        <v>23</v>
      </c>
      <c r="I241" t="s">
        <v>45</v>
      </c>
      <c r="J241" t="s">
        <v>32</v>
      </c>
      <c r="K241">
        <v>3</v>
      </c>
      <c r="L241">
        <v>15000</v>
      </c>
      <c r="M241">
        <v>15</v>
      </c>
      <c r="N241">
        <v>38250</v>
      </c>
      <c r="O241">
        <v>27000</v>
      </c>
      <c r="P241">
        <v>11250</v>
      </c>
      <c r="Q241" t="s">
        <v>47</v>
      </c>
      <c r="R241" t="s">
        <v>58</v>
      </c>
    </row>
    <row r="242" spans="1:18" x14ac:dyDescent="0.2">
      <c r="A242" t="s">
        <v>310</v>
      </c>
      <c r="B242" s="1">
        <v>45880</v>
      </c>
      <c r="C242" t="s">
        <v>19</v>
      </c>
      <c r="D242" t="s">
        <v>41</v>
      </c>
      <c r="E242">
        <v>39</v>
      </c>
      <c r="F242" t="s">
        <v>30</v>
      </c>
      <c r="G242" t="s">
        <v>50</v>
      </c>
      <c r="H242" t="s">
        <v>51</v>
      </c>
      <c r="I242" t="s">
        <v>71</v>
      </c>
      <c r="J242" t="s">
        <v>25</v>
      </c>
      <c r="K242">
        <v>3</v>
      </c>
      <c r="L242">
        <v>16000</v>
      </c>
      <c r="M242">
        <v>15</v>
      </c>
      <c r="N242">
        <v>40800</v>
      </c>
      <c r="O242">
        <v>30000</v>
      </c>
      <c r="P242">
        <v>10800</v>
      </c>
      <c r="Q242" t="s">
        <v>64</v>
      </c>
      <c r="R242" t="s">
        <v>27</v>
      </c>
    </row>
    <row r="243" spans="1:18" x14ac:dyDescent="0.2">
      <c r="A243" t="s">
        <v>311</v>
      </c>
      <c r="B243" s="1">
        <v>45698</v>
      </c>
      <c r="C243" t="s">
        <v>86</v>
      </c>
      <c r="D243" t="s">
        <v>20</v>
      </c>
      <c r="E243">
        <v>55</v>
      </c>
      <c r="F243" t="s">
        <v>21</v>
      </c>
      <c r="G243" t="s">
        <v>36</v>
      </c>
      <c r="H243" t="s">
        <v>37</v>
      </c>
      <c r="I243" t="s">
        <v>45</v>
      </c>
      <c r="J243" t="s">
        <v>95</v>
      </c>
      <c r="K243">
        <v>2</v>
      </c>
      <c r="L243">
        <v>8000</v>
      </c>
      <c r="M243">
        <v>15</v>
      </c>
      <c r="N243">
        <v>13600</v>
      </c>
      <c r="O243">
        <v>9000</v>
      </c>
      <c r="P243">
        <v>4600</v>
      </c>
      <c r="Q243" t="s">
        <v>47</v>
      </c>
      <c r="R243" t="s">
        <v>27</v>
      </c>
    </row>
    <row r="244" spans="1:18" x14ac:dyDescent="0.2">
      <c r="A244" t="s">
        <v>312</v>
      </c>
      <c r="B244" s="1">
        <v>46005</v>
      </c>
      <c r="C244" t="s">
        <v>73</v>
      </c>
      <c r="D244" t="s">
        <v>20</v>
      </c>
      <c r="E244">
        <v>49</v>
      </c>
      <c r="F244" t="s">
        <v>68</v>
      </c>
      <c r="G244" t="s">
        <v>69</v>
      </c>
      <c r="H244" t="s">
        <v>70</v>
      </c>
      <c r="I244" t="s">
        <v>24</v>
      </c>
      <c r="J244" t="s">
        <v>25</v>
      </c>
      <c r="K244">
        <v>3</v>
      </c>
      <c r="L244">
        <v>22000</v>
      </c>
      <c r="M244">
        <v>10</v>
      </c>
      <c r="N244">
        <v>59400</v>
      </c>
      <c r="O244">
        <v>42000</v>
      </c>
      <c r="P244">
        <v>17400</v>
      </c>
      <c r="Q244" t="s">
        <v>64</v>
      </c>
      <c r="R244" t="s">
        <v>38</v>
      </c>
    </row>
    <row r="245" spans="1:18" x14ac:dyDescent="0.2">
      <c r="A245" t="s">
        <v>313</v>
      </c>
      <c r="B245" s="1">
        <v>45902</v>
      </c>
      <c r="C245" t="s">
        <v>40</v>
      </c>
      <c r="D245" t="s">
        <v>41</v>
      </c>
      <c r="E245">
        <v>25</v>
      </c>
      <c r="F245" t="s">
        <v>68</v>
      </c>
      <c r="G245" t="s">
        <v>50</v>
      </c>
      <c r="H245" t="s">
        <v>51</v>
      </c>
      <c r="I245" t="s">
        <v>71</v>
      </c>
      <c r="J245" t="s">
        <v>66</v>
      </c>
      <c r="K245">
        <v>3</v>
      </c>
      <c r="L245">
        <v>16000</v>
      </c>
      <c r="M245">
        <v>0</v>
      </c>
      <c r="N245">
        <v>48000</v>
      </c>
      <c r="O245">
        <v>30000</v>
      </c>
      <c r="P245">
        <v>18000</v>
      </c>
      <c r="Q245" t="s">
        <v>26</v>
      </c>
      <c r="R245" t="s">
        <v>33</v>
      </c>
    </row>
    <row r="246" spans="1:18" x14ac:dyDescent="0.2">
      <c r="A246" t="s">
        <v>314</v>
      </c>
      <c r="B246" s="1">
        <v>45956</v>
      </c>
      <c r="C246" t="s">
        <v>78</v>
      </c>
      <c r="D246" t="s">
        <v>20</v>
      </c>
      <c r="E246">
        <v>25</v>
      </c>
      <c r="F246" t="s">
        <v>49</v>
      </c>
      <c r="G246" t="s">
        <v>69</v>
      </c>
      <c r="H246" t="s">
        <v>70</v>
      </c>
      <c r="I246" t="s">
        <v>31</v>
      </c>
      <c r="J246" t="s">
        <v>25</v>
      </c>
      <c r="K246">
        <v>2</v>
      </c>
      <c r="L246">
        <v>22000</v>
      </c>
      <c r="M246">
        <v>15</v>
      </c>
      <c r="N246">
        <v>37400</v>
      </c>
      <c r="O246">
        <v>28000</v>
      </c>
      <c r="P246">
        <v>9400</v>
      </c>
      <c r="Q246" t="s">
        <v>26</v>
      </c>
      <c r="R246" t="s">
        <v>38</v>
      </c>
    </row>
    <row r="247" spans="1:18" x14ac:dyDescent="0.2">
      <c r="A247" t="s">
        <v>315</v>
      </c>
      <c r="B247" s="1">
        <v>45870</v>
      </c>
      <c r="C247" t="s">
        <v>29</v>
      </c>
      <c r="D247" t="s">
        <v>41</v>
      </c>
      <c r="E247">
        <v>41</v>
      </c>
      <c r="F247" t="s">
        <v>21</v>
      </c>
      <c r="G247" t="s">
        <v>69</v>
      </c>
      <c r="H247" t="s">
        <v>82</v>
      </c>
      <c r="I247" t="s">
        <v>71</v>
      </c>
      <c r="J247" t="s">
        <v>52</v>
      </c>
      <c r="K247">
        <v>1</v>
      </c>
      <c r="L247">
        <v>25000</v>
      </c>
      <c r="M247">
        <v>0</v>
      </c>
      <c r="N247">
        <v>25000</v>
      </c>
      <c r="O247">
        <v>17000</v>
      </c>
      <c r="P247">
        <v>8000</v>
      </c>
      <c r="Q247" t="s">
        <v>64</v>
      </c>
      <c r="R247" t="s">
        <v>58</v>
      </c>
    </row>
    <row r="248" spans="1:18" x14ac:dyDescent="0.2">
      <c r="A248" t="s">
        <v>316</v>
      </c>
      <c r="B248" s="1">
        <v>45813</v>
      </c>
      <c r="C248" t="s">
        <v>91</v>
      </c>
      <c r="D248" t="s">
        <v>41</v>
      </c>
      <c r="E248">
        <v>37</v>
      </c>
      <c r="F248" t="s">
        <v>21</v>
      </c>
      <c r="G248" t="s">
        <v>22</v>
      </c>
      <c r="H248" t="s">
        <v>23</v>
      </c>
      <c r="I248" t="s">
        <v>31</v>
      </c>
      <c r="J248" t="s">
        <v>95</v>
      </c>
      <c r="K248">
        <v>4</v>
      </c>
      <c r="L248">
        <v>15000</v>
      </c>
      <c r="M248">
        <v>10</v>
      </c>
      <c r="N248">
        <v>54000</v>
      </c>
      <c r="O248">
        <v>36000</v>
      </c>
      <c r="P248">
        <v>18000</v>
      </c>
      <c r="Q248" t="s">
        <v>64</v>
      </c>
      <c r="R248" t="s">
        <v>38</v>
      </c>
    </row>
    <row r="249" spans="1:18" x14ac:dyDescent="0.2">
      <c r="A249" t="s">
        <v>317</v>
      </c>
      <c r="B249" s="1">
        <v>45987</v>
      </c>
      <c r="C249" t="s">
        <v>35</v>
      </c>
      <c r="D249" t="s">
        <v>41</v>
      </c>
      <c r="E249">
        <v>38</v>
      </c>
      <c r="F249" t="s">
        <v>68</v>
      </c>
      <c r="G249" t="s">
        <v>50</v>
      </c>
      <c r="H249" t="s">
        <v>51</v>
      </c>
      <c r="I249" t="s">
        <v>24</v>
      </c>
      <c r="J249" t="s">
        <v>46</v>
      </c>
      <c r="K249">
        <v>3</v>
      </c>
      <c r="L249">
        <v>16000</v>
      </c>
      <c r="M249">
        <v>0</v>
      </c>
      <c r="N249">
        <v>48000</v>
      </c>
      <c r="O249">
        <v>30000</v>
      </c>
      <c r="P249">
        <v>18000</v>
      </c>
      <c r="Q249" t="s">
        <v>47</v>
      </c>
      <c r="R249" t="s">
        <v>27</v>
      </c>
    </row>
    <row r="250" spans="1:18" x14ac:dyDescent="0.2">
      <c r="A250" t="s">
        <v>318</v>
      </c>
      <c r="B250" s="1">
        <v>45659</v>
      </c>
      <c r="C250" t="s">
        <v>91</v>
      </c>
      <c r="D250" t="s">
        <v>20</v>
      </c>
      <c r="E250">
        <v>37</v>
      </c>
      <c r="F250" t="s">
        <v>42</v>
      </c>
      <c r="G250" t="s">
        <v>43</v>
      </c>
      <c r="H250" t="s">
        <v>44</v>
      </c>
      <c r="I250" t="s">
        <v>45</v>
      </c>
      <c r="J250" t="s">
        <v>66</v>
      </c>
      <c r="K250">
        <v>4</v>
      </c>
      <c r="L250">
        <v>20000</v>
      </c>
      <c r="M250">
        <v>10</v>
      </c>
      <c r="N250">
        <v>72000</v>
      </c>
      <c r="O250">
        <v>48000</v>
      </c>
      <c r="P250">
        <v>24000</v>
      </c>
      <c r="Q250" t="s">
        <v>47</v>
      </c>
      <c r="R250" t="s">
        <v>33</v>
      </c>
    </row>
    <row r="251" spans="1:18" x14ac:dyDescent="0.2">
      <c r="A251" t="s">
        <v>319</v>
      </c>
      <c r="B251" s="1">
        <v>45847</v>
      </c>
      <c r="C251" t="s">
        <v>73</v>
      </c>
      <c r="D251" t="s">
        <v>41</v>
      </c>
      <c r="E251">
        <v>24</v>
      </c>
      <c r="F251" t="s">
        <v>42</v>
      </c>
      <c r="G251" t="s">
        <v>50</v>
      </c>
      <c r="H251" t="s">
        <v>51</v>
      </c>
      <c r="I251" t="s">
        <v>71</v>
      </c>
      <c r="J251" t="s">
        <v>46</v>
      </c>
      <c r="K251">
        <v>3</v>
      </c>
      <c r="L251">
        <v>16000</v>
      </c>
      <c r="M251">
        <v>15</v>
      </c>
      <c r="N251">
        <v>40800</v>
      </c>
      <c r="O251">
        <v>30000</v>
      </c>
      <c r="P251">
        <v>10800</v>
      </c>
      <c r="Q251" t="s">
        <v>64</v>
      </c>
      <c r="R251" t="s">
        <v>58</v>
      </c>
    </row>
    <row r="252" spans="1:18" x14ac:dyDescent="0.2">
      <c r="A252" t="s">
        <v>320</v>
      </c>
      <c r="B252" s="1">
        <v>45752</v>
      </c>
      <c r="C252" t="s">
        <v>35</v>
      </c>
      <c r="D252" t="s">
        <v>20</v>
      </c>
      <c r="E252">
        <v>18</v>
      </c>
      <c r="F252" t="s">
        <v>49</v>
      </c>
      <c r="G252" t="s">
        <v>36</v>
      </c>
      <c r="H252" t="s">
        <v>76</v>
      </c>
      <c r="I252" t="s">
        <v>71</v>
      </c>
      <c r="J252" t="s">
        <v>46</v>
      </c>
      <c r="K252">
        <v>1</v>
      </c>
      <c r="L252">
        <v>10000</v>
      </c>
      <c r="M252">
        <v>0</v>
      </c>
      <c r="N252">
        <v>10000</v>
      </c>
      <c r="O252">
        <v>6000</v>
      </c>
      <c r="P252">
        <v>4000</v>
      </c>
      <c r="Q252" t="s">
        <v>64</v>
      </c>
      <c r="R252" t="s">
        <v>27</v>
      </c>
    </row>
    <row r="253" spans="1:18" x14ac:dyDescent="0.2">
      <c r="A253" t="s">
        <v>321</v>
      </c>
      <c r="B253" s="1">
        <v>45933</v>
      </c>
      <c r="C253" t="s">
        <v>29</v>
      </c>
      <c r="D253" t="s">
        <v>41</v>
      </c>
      <c r="E253">
        <v>53</v>
      </c>
      <c r="F253" t="s">
        <v>30</v>
      </c>
      <c r="G253" t="s">
        <v>50</v>
      </c>
      <c r="H253" t="s">
        <v>51</v>
      </c>
      <c r="I253" t="s">
        <v>31</v>
      </c>
      <c r="J253" t="s">
        <v>46</v>
      </c>
      <c r="K253">
        <v>2</v>
      </c>
      <c r="L253">
        <v>16000</v>
      </c>
      <c r="M253">
        <v>15</v>
      </c>
      <c r="N253">
        <v>27200</v>
      </c>
      <c r="O253">
        <v>20000</v>
      </c>
      <c r="P253">
        <v>7200</v>
      </c>
      <c r="Q253" t="s">
        <v>64</v>
      </c>
      <c r="R253" t="s">
        <v>58</v>
      </c>
    </row>
    <row r="254" spans="1:18" x14ac:dyDescent="0.2">
      <c r="A254" t="s">
        <v>322</v>
      </c>
      <c r="B254" s="1">
        <v>45908</v>
      </c>
      <c r="C254" t="s">
        <v>62</v>
      </c>
      <c r="D254" t="s">
        <v>41</v>
      </c>
      <c r="E254">
        <v>43</v>
      </c>
      <c r="F254" t="s">
        <v>21</v>
      </c>
      <c r="G254" t="s">
        <v>36</v>
      </c>
      <c r="H254" t="s">
        <v>76</v>
      </c>
      <c r="I254" t="s">
        <v>71</v>
      </c>
      <c r="J254" t="s">
        <v>95</v>
      </c>
      <c r="K254">
        <v>1</v>
      </c>
      <c r="L254">
        <v>10000</v>
      </c>
      <c r="M254">
        <v>15</v>
      </c>
      <c r="N254">
        <v>8500</v>
      </c>
      <c r="O254">
        <v>6000</v>
      </c>
      <c r="P254">
        <v>2500</v>
      </c>
      <c r="Q254" t="s">
        <v>26</v>
      </c>
      <c r="R254" t="s">
        <v>27</v>
      </c>
    </row>
    <row r="255" spans="1:18" x14ac:dyDescent="0.2">
      <c r="A255" t="s">
        <v>323</v>
      </c>
      <c r="B255" s="1">
        <v>45939</v>
      </c>
      <c r="C255" t="s">
        <v>19</v>
      </c>
      <c r="D255" t="s">
        <v>41</v>
      </c>
      <c r="E255">
        <v>45</v>
      </c>
      <c r="F255" t="s">
        <v>68</v>
      </c>
      <c r="G255" t="s">
        <v>22</v>
      </c>
      <c r="H255" t="s">
        <v>74</v>
      </c>
      <c r="I255" t="s">
        <v>24</v>
      </c>
      <c r="J255" t="s">
        <v>66</v>
      </c>
      <c r="K255">
        <v>4</v>
      </c>
      <c r="L255">
        <v>18000</v>
      </c>
      <c r="M255">
        <v>5</v>
      </c>
      <c r="N255">
        <v>68400</v>
      </c>
      <c r="O255">
        <v>44000</v>
      </c>
      <c r="P255">
        <v>24400</v>
      </c>
      <c r="Q255" t="s">
        <v>64</v>
      </c>
      <c r="R255" t="s">
        <v>27</v>
      </c>
    </row>
    <row r="256" spans="1:18" x14ac:dyDescent="0.2">
      <c r="A256" t="s">
        <v>324</v>
      </c>
      <c r="B256" s="1">
        <v>45747</v>
      </c>
      <c r="C256" t="s">
        <v>78</v>
      </c>
      <c r="D256" t="s">
        <v>20</v>
      </c>
      <c r="E256">
        <v>51</v>
      </c>
      <c r="F256" t="s">
        <v>42</v>
      </c>
      <c r="G256" t="s">
        <v>69</v>
      </c>
      <c r="H256" t="s">
        <v>82</v>
      </c>
      <c r="I256" t="s">
        <v>24</v>
      </c>
      <c r="J256" t="s">
        <v>32</v>
      </c>
      <c r="K256">
        <v>4</v>
      </c>
      <c r="L256">
        <v>25000</v>
      </c>
      <c r="M256">
        <v>0</v>
      </c>
      <c r="N256">
        <v>100000</v>
      </c>
      <c r="O256">
        <v>68000</v>
      </c>
      <c r="P256">
        <v>32000</v>
      </c>
      <c r="Q256" t="s">
        <v>47</v>
      </c>
      <c r="R256" t="s">
        <v>38</v>
      </c>
    </row>
    <row r="257" spans="1:18" x14ac:dyDescent="0.2">
      <c r="A257" t="s">
        <v>325</v>
      </c>
      <c r="B257" s="1">
        <v>45832</v>
      </c>
      <c r="C257" t="s">
        <v>56</v>
      </c>
      <c r="D257" t="s">
        <v>41</v>
      </c>
      <c r="E257">
        <v>39</v>
      </c>
      <c r="F257" t="s">
        <v>30</v>
      </c>
      <c r="G257" t="s">
        <v>50</v>
      </c>
      <c r="H257" t="s">
        <v>57</v>
      </c>
      <c r="I257" t="s">
        <v>71</v>
      </c>
      <c r="J257" t="s">
        <v>95</v>
      </c>
      <c r="K257">
        <v>3</v>
      </c>
      <c r="L257">
        <v>14000</v>
      </c>
      <c r="M257">
        <v>0</v>
      </c>
      <c r="N257">
        <v>42000</v>
      </c>
      <c r="O257">
        <v>25500</v>
      </c>
      <c r="P257">
        <v>16500</v>
      </c>
      <c r="Q257" t="s">
        <v>26</v>
      </c>
      <c r="R257" t="s">
        <v>27</v>
      </c>
    </row>
    <row r="258" spans="1:18" x14ac:dyDescent="0.2">
      <c r="A258" t="s">
        <v>326</v>
      </c>
      <c r="B258" s="1">
        <v>45920</v>
      </c>
      <c r="C258" t="s">
        <v>35</v>
      </c>
      <c r="D258" t="s">
        <v>41</v>
      </c>
      <c r="E258">
        <v>37</v>
      </c>
      <c r="F258" t="s">
        <v>21</v>
      </c>
      <c r="G258" t="s">
        <v>22</v>
      </c>
      <c r="H258" t="s">
        <v>23</v>
      </c>
      <c r="I258" t="s">
        <v>31</v>
      </c>
      <c r="J258" t="s">
        <v>25</v>
      </c>
      <c r="K258">
        <v>4</v>
      </c>
      <c r="L258">
        <v>15000</v>
      </c>
      <c r="M258">
        <v>15</v>
      </c>
      <c r="N258">
        <v>51000</v>
      </c>
      <c r="O258">
        <v>36000</v>
      </c>
      <c r="P258">
        <v>15000</v>
      </c>
      <c r="Q258" t="s">
        <v>64</v>
      </c>
      <c r="R258" t="s">
        <v>38</v>
      </c>
    </row>
    <row r="259" spans="1:18" x14ac:dyDescent="0.2">
      <c r="A259" t="s">
        <v>327</v>
      </c>
      <c r="B259" s="1">
        <v>46018</v>
      </c>
      <c r="C259" t="s">
        <v>73</v>
      </c>
      <c r="D259" t="s">
        <v>41</v>
      </c>
      <c r="E259">
        <v>44</v>
      </c>
      <c r="F259" t="s">
        <v>49</v>
      </c>
      <c r="G259" t="s">
        <v>22</v>
      </c>
      <c r="H259" t="s">
        <v>74</v>
      </c>
      <c r="I259" t="s">
        <v>24</v>
      </c>
      <c r="J259" t="s">
        <v>25</v>
      </c>
      <c r="K259">
        <v>2</v>
      </c>
      <c r="L259">
        <v>18000</v>
      </c>
      <c r="M259">
        <v>0</v>
      </c>
      <c r="N259">
        <v>36000</v>
      </c>
      <c r="O259">
        <v>22000</v>
      </c>
      <c r="P259">
        <v>14000</v>
      </c>
      <c r="Q259" t="s">
        <v>47</v>
      </c>
      <c r="R259" t="s">
        <v>27</v>
      </c>
    </row>
    <row r="260" spans="1:18" x14ac:dyDescent="0.2">
      <c r="A260" t="s">
        <v>328</v>
      </c>
      <c r="B260" s="1">
        <v>45897</v>
      </c>
      <c r="C260" t="s">
        <v>89</v>
      </c>
      <c r="D260" t="s">
        <v>41</v>
      </c>
      <c r="E260">
        <v>40</v>
      </c>
      <c r="F260" t="s">
        <v>21</v>
      </c>
      <c r="G260" t="s">
        <v>50</v>
      </c>
      <c r="H260" t="s">
        <v>57</v>
      </c>
      <c r="I260" t="s">
        <v>71</v>
      </c>
      <c r="J260" t="s">
        <v>32</v>
      </c>
      <c r="K260">
        <v>4</v>
      </c>
      <c r="L260">
        <v>14000</v>
      </c>
      <c r="M260">
        <v>5</v>
      </c>
      <c r="N260">
        <v>53200</v>
      </c>
      <c r="O260">
        <v>34000</v>
      </c>
      <c r="P260">
        <v>19200</v>
      </c>
      <c r="Q260" t="s">
        <v>26</v>
      </c>
      <c r="R260" t="s">
        <v>27</v>
      </c>
    </row>
    <row r="261" spans="1:18" x14ac:dyDescent="0.2">
      <c r="A261" t="s">
        <v>329</v>
      </c>
      <c r="B261" s="1">
        <v>45700</v>
      </c>
      <c r="C261" t="s">
        <v>73</v>
      </c>
      <c r="D261" t="s">
        <v>20</v>
      </c>
      <c r="E261">
        <v>32</v>
      </c>
      <c r="F261" t="s">
        <v>49</v>
      </c>
      <c r="G261" t="s">
        <v>69</v>
      </c>
      <c r="H261" t="s">
        <v>70</v>
      </c>
      <c r="I261" t="s">
        <v>71</v>
      </c>
      <c r="J261" t="s">
        <v>46</v>
      </c>
      <c r="K261">
        <v>3</v>
      </c>
      <c r="L261">
        <v>22000</v>
      </c>
      <c r="M261">
        <v>5</v>
      </c>
      <c r="N261">
        <v>62700</v>
      </c>
      <c r="O261">
        <v>42000</v>
      </c>
      <c r="P261">
        <v>20700</v>
      </c>
      <c r="Q261" t="s">
        <v>26</v>
      </c>
      <c r="R261" t="s">
        <v>38</v>
      </c>
    </row>
    <row r="262" spans="1:18" x14ac:dyDescent="0.2">
      <c r="A262" t="s">
        <v>330</v>
      </c>
      <c r="B262" s="1">
        <v>45915</v>
      </c>
      <c r="C262" t="s">
        <v>81</v>
      </c>
      <c r="D262" t="s">
        <v>41</v>
      </c>
      <c r="E262">
        <v>40</v>
      </c>
      <c r="F262" t="s">
        <v>21</v>
      </c>
      <c r="G262" t="s">
        <v>69</v>
      </c>
      <c r="H262" t="s">
        <v>70</v>
      </c>
      <c r="I262" t="s">
        <v>71</v>
      </c>
      <c r="J262" t="s">
        <v>25</v>
      </c>
      <c r="K262">
        <v>3</v>
      </c>
      <c r="L262">
        <v>22000</v>
      </c>
      <c r="M262">
        <v>0</v>
      </c>
      <c r="N262">
        <v>66000</v>
      </c>
      <c r="O262">
        <v>42000</v>
      </c>
      <c r="P262">
        <v>24000</v>
      </c>
      <c r="Q262" t="s">
        <v>47</v>
      </c>
      <c r="R262" t="s">
        <v>58</v>
      </c>
    </row>
    <row r="263" spans="1:18" x14ac:dyDescent="0.2">
      <c r="A263" t="s">
        <v>331</v>
      </c>
      <c r="B263" s="1">
        <v>45851</v>
      </c>
      <c r="C263" t="s">
        <v>40</v>
      </c>
      <c r="D263" t="s">
        <v>20</v>
      </c>
      <c r="E263">
        <v>31</v>
      </c>
      <c r="F263" t="s">
        <v>49</v>
      </c>
      <c r="G263" t="s">
        <v>43</v>
      </c>
      <c r="H263" t="s">
        <v>60</v>
      </c>
      <c r="I263" t="s">
        <v>45</v>
      </c>
      <c r="J263" t="s">
        <v>32</v>
      </c>
      <c r="K263">
        <v>3</v>
      </c>
      <c r="L263">
        <v>15000</v>
      </c>
      <c r="M263">
        <v>0</v>
      </c>
      <c r="N263">
        <v>45000</v>
      </c>
      <c r="O263">
        <v>27000</v>
      </c>
      <c r="P263">
        <v>18000</v>
      </c>
      <c r="Q263" t="s">
        <v>26</v>
      </c>
      <c r="R263" t="s">
        <v>38</v>
      </c>
    </row>
    <row r="264" spans="1:18" x14ac:dyDescent="0.2">
      <c r="A264" t="s">
        <v>332</v>
      </c>
      <c r="B264" s="1">
        <v>45869</v>
      </c>
      <c r="C264" t="s">
        <v>54</v>
      </c>
      <c r="D264" t="s">
        <v>41</v>
      </c>
      <c r="E264">
        <v>28</v>
      </c>
      <c r="F264" t="s">
        <v>49</v>
      </c>
      <c r="G264" t="s">
        <v>69</v>
      </c>
      <c r="H264" t="s">
        <v>70</v>
      </c>
      <c r="I264" t="s">
        <v>71</v>
      </c>
      <c r="J264" t="s">
        <v>32</v>
      </c>
      <c r="K264">
        <v>2</v>
      </c>
      <c r="L264">
        <v>22000</v>
      </c>
      <c r="M264">
        <v>0</v>
      </c>
      <c r="N264">
        <v>44000</v>
      </c>
      <c r="O264">
        <v>28000</v>
      </c>
      <c r="P264">
        <v>16000</v>
      </c>
      <c r="Q264" t="s">
        <v>26</v>
      </c>
      <c r="R264" t="s">
        <v>33</v>
      </c>
    </row>
    <row r="265" spans="1:18" x14ac:dyDescent="0.2">
      <c r="A265" t="s">
        <v>333</v>
      </c>
      <c r="B265" s="1">
        <v>45875</v>
      </c>
      <c r="C265" t="s">
        <v>35</v>
      </c>
      <c r="D265" t="s">
        <v>20</v>
      </c>
      <c r="E265">
        <v>49</v>
      </c>
      <c r="F265" t="s">
        <v>49</v>
      </c>
      <c r="G265" t="s">
        <v>69</v>
      </c>
      <c r="H265" t="s">
        <v>82</v>
      </c>
      <c r="I265" t="s">
        <v>45</v>
      </c>
      <c r="J265" t="s">
        <v>95</v>
      </c>
      <c r="K265">
        <v>2</v>
      </c>
      <c r="L265">
        <v>25000</v>
      </c>
      <c r="M265">
        <v>10</v>
      </c>
      <c r="N265">
        <v>45000</v>
      </c>
      <c r="O265">
        <v>34000</v>
      </c>
      <c r="P265">
        <v>11000</v>
      </c>
      <c r="Q265" t="s">
        <v>47</v>
      </c>
      <c r="R265" t="s">
        <v>38</v>
      </c>
    </row>
    <row r="266" spans="1:18" x14ac:dyDescent="0.2">
      <c r="A266" t="s">
        <v>334</v>
      </c>
      <c r="B266" s="1">
        <v>45706</v>
      </c>
      <c r="C266" t="s">
        <v>91</v>
      </c>
      <c r="D266" t="s">
        <v>20</v>
      </c>
      <c r="E266">
        <v>24</v>
      </c>
      <c r="F266" t="s">
        <v>30</v>
      </c>
      <c r="G266" t="s">
        <v>36</v>
      </c>
      <c r="H266" t="s">
        <v>37</v>
      </c>
      <c r="I266" t="s">
        <v>71</v>
      </c>
      <c r="J266" t="s">
        <v>95</v>
      </c>
      <c r="K266">
        <v>2</v>
      </c>
      <c r="L266">
        <v>8000</v>
      </c>
      <c r="M266">
        <v>5</v>
      </c>
      <c r="N266">
        <v>15200</v>
      </c>
      <c r="O266">
        <v>9000</v>
      </c>
      <c r="P266">
        <v>6200</v>
      </c>
      <c r="Q266" t="s">
        <v>64</v>
      </c>
      <c r="R266" t="s">
        <v>33</v>
      </c>
    </row>
    <row r="267" spans="1:18" x14ac:dyDescent="0.2">
      <c r="A267" t="s">
        <v>335</v>
      </c>
      <c r="B267" s="1">
        <v>45873</v>
      </c>
      <c r="C267" t="s">
        <v>62</v>
      </c>
      <c r="D267" t="s">
        <v>20</v>
      </c>
      <c r="E267">
        <v>21</v>
      </c>
      <c r="F267" t="s">
        <v>21</v>
      </c>
      <c r="G267" t="s">
        <v>36</v>
      </c>
      <c r="H267" t="s">
        <v>76</v>
      </c>
      <c r="I267" t="s">
        <v>31</v>
      </c>
      <c r="J267" t="s">
        <v>66</v>
      </c>
      <c r="K267">
        <v>2</v>
      </c>
      <c r="L267">
        <v>10000</v>
      </c>
      <c r="M267">
        <v>5</v>
      </c>
      <c r="N267">
        <v>19000</v>
      </c>
      <c r="O267">
        <v>12000</v>
      </c>
      <c r="P267">
        <v>7000</v>
      </c>
      <c r="Q267" t="s">
        <v>47</v>
      </c>
      <c r="R267" t="s">
        <v>58</v>
      </c>
    </row>
    <row r="268" spans="1:18" x14ac:dyDescent="0.2">
      <c r="A268" t="s">
        <v>336</v>
      </c>
      <c r="B268" s="1">
        <v>45804</v>
      </c>
      <c r="C268" t="s">
        <v>81</v>
      </c>
      <c r="D268" t="s">
        <v>20</v>
      </c>
      <c r="E268">
        <v>36</v>
      </c>
      <c r="F268" t="s">
        <v>49</v>
      </c>
      <c r="G268" t="s">
        <v>22</v>
      </c>
      <c r="H268" t="s">
        <v>74</v>
      </c>
      <c r="I268" t="s">
        <v>71</v>
      </c>
      <c r="J268" t="s">
        <v>52</v>
      </c>
      <c r="K268">
        <v>2</v>
      </c>
      <c r="L268">
        <v>18000</v>
      </c>
      <c r="M268">
        <v>5</v>
      </c>
      <c r="N268">
        <v>34200</v>
      </c>
      <c r="O268">
        <v>22000</v>
      </c>
      <c r="P268">
        <v>12200</v>
      </c>
      <c r="Q268" t="s">
        <v>47</v>
      </c>
      <c r="R268" t="s">
        <v>58</v>
      </c>
    </row>
    <row r="269" spans="1:18" x14ac:dyDescent="0.2">
      <c r="A269" t="s">
        <v>337</v>
      </c>
      <c r="B269" s="1">
        <v>45732</v>
      </c>
      <c r="C269" t="s">
        <v>62</v>
      </c>
      <c r="D269" t="s">
        <v>41</v>
      </c>
      <c r="E269">
        <v>52</v>
      </c>
      <c r="F269" t="s">
        <v>68</v>
      </c>
      <c r="G269" t="s">
        <v>22</v>
      </c>
      <c r="H269" t="s">
        <v>74</v>
      </c>
      <c r="I269" t="s">
        <v>31</v>
      </c>
      <c r="J269" t="s">
        <v>52</v>
      </c>
      <c r="K269">
        <v>2</v>
      </c>
      <c r="L269">
        <v>18000</v>
      </c>
      <c r="M269">
        <v>15</v>
      </c>
      <c r="N269">
        <v>30600</v>
      </c>
      <c r="O269">
        <v>22000</v>
      </c>
      <c r="P269">
        <v>8600</v>
      </c>
      <c r="Q269" t="s">
        <v>26</v>
      </c>
      <c r="R269" t="s">
        <v>33</v>
      </c>
    </row>
    <row r="270" spans="1:18" x14ac:dyDescent="0.2">
      <c r="A270" t="s">
        <v>338</v>
      </c>
      <c r="B270" s="1">
        <v>45787</v>
      </c>
      <c r="C270" t="s">
        <v>54</v>
      </c>
      <c r="D270" t="s">
        <v>20</v>
      </c>
      <c r="E270">
        <v>52</v>
      </c>
      <c r="F270" t="s">
        <v>49</v>
      </c>
      <c r="G270" t="s">
        <v>50</v>
      </c>
      <c r="H270" t="s">
        <v>51</v>
      </c>
      <c r="I270" t="s">
        <v>71</v>
      </c>
      <c r="J270" t="s">
        <v>52</v>
      </c>
      <c r="K270">
        <v>2</v>
      </c>
      <c r="L270">
        <v>16000</v>
      </c>
      <c r="M270">
        <v>15</v>
      </c>
      <c r="N270">
        <v>27200</v>
      </c>
      <c r="O270">
        <v>20000</v>
      </c>
      <c r="P270">
        <v>7200</v>
      </c>
      <c r="Q270" t="s">
        <v>47</v>
      </c>
      <c r="R270" t="s">
        <v>38</v>
      </c>
    </row>
    <row r="271" spans="1:18" x14ac:dyDescent="0.2">
      <c r="A271" t="s">
        <v>339</v>
      </c>
      <c r="B271" s="1">
        <v>46003</v>
      </c>
      <c r="C271" t="s">
        <v>81</v>
      </c>
      <c r="D271" t="s">
        <v>20</v>
      </c>
      <c r="E271">
        <v>20</v>
      </c>
      <c r="F271" t="s">
        <v>68</v>
      </c>
      <c r="G271" t="s">
        <v>22</v>
      </c>
      <c r="H271" t="s">
        <v>23</v>
      </c>
      <c r="I271" t="s">
        <v>24</v>
      </c>
      <c r="J271" t="s">
        <v>95</v>
      </c>
      <c r="K271">
        <v>2</v>
      </c>
      <c r="L271">
        <v>15000</v>
      </c>
      <c r="M271">
        <v>15</v>
      </c>
      <c r="N271">
        <v>25500</v>
      </c>
      <c r="O271">
        <v>18000</v>
      </c>
      <c r="P271">
        <v>7500</v>
      </c>
      <c r="Q271" t="s">
        <v>64</v>
      </c>
      <c r="R271" t="s">
        <v>38</v>
      </c>
    </row>
    <row r="272" spans="1:18" x14ac:dyDescent="0.2">
      <c r="A272" t="s">
        <v>340</v>
      </c>
      <c r="B272" s="1">
        <v>45674</v>
      </c>
      <c r="C272" t="s">
        <v>78</v>
      </c>
      <c r="D272" t="s">
        <v>41</v>
      </c>
      <c r="E272">
        <v>25</v>
      </c>
      <c r="F272" t="s">
        <v>21</v>
      </c>
      <c r="G272" t="s">
        <v>22</v>
      </c>
      <c r="H272" t="s">
        <v>23</v>
      </c>
      <c r="I272" t="s">
        <v>31</v>
      </c>
      <c r="J272" t="s">
        <v>32</v>
      </c>
      <c r="K272">
        <v>4</v>
      </c>
      <c r="L272">
        <v>15000</v>
      </c>
      <c r="M272">
        <v>5</v>
      </c>
      <c r="N272">
        <v>57000</v>
      </c>
      <c r="O272">
        <v>36000</v>
      </c>
      <c r="P272">
        <v>21000</v>
      </c>
      <c r="Q272" t="s">
        <v>64</v>
      </c>
      <c r="R272" t="s">
        <v>33</v>
      </c>
    </row>
    <row r="273" spans="1:18" x14ac:dyDescent="0.2">
      <c r="A273" t="s">
        <v>341</v>
      </c>
      <c r="B273" s="1">
        <v>45937</v>
      </c>
      <c r="C273" t="s">
        <v>56</v>
      </c>
      <c r="D273" t="s">
        <v>20</v>
      </c>
      <c r="E273">
        <v>31</v>
      </c>
      <c r="F273" t="s">
        <v>68</v>
      </c>
      <c r="G273" t="s">
        <v>36</v>
      </c>
      <c r="H273" t="s">
        <v>37</v>
      </c>
      <c r="I273" t="s">
        <v>24</v>
      </c>
      <c r="J273" t="s">
        <v>95</v>
      </c>
      <c r="K273">
        <v>3</v>
      </c>
      <c r="L273">
        <v>8000</v>
      </c>
      <c r="M273">
        <v>15</v>
      </c>
      <c r="N273">
        <v>20400</v>
      </c>
      <c r="O273">
        <v>13500</v>
      </c>
      <c r="P273">
        <v>6900</v>
      </c>
      <c r="Q273" t="s">
        <v>47</v>
      </c>
      <c r="R273" t="s">
        <v>27</v>
      </c>
    </row>
    <row r="274" spans="1:18" x14ac:dyDescent="0.2">
      <c r="A274" t="s">
        <v>342</v>
      </c>
      <c r="B274" s="1">
        <v>45683</v>
      </c>
      <c r="C274" t="s">
        <v>73</v>
      </c>
      <c r="D274" t="s">
        <v>41</v>
      </c>
      <c r="E274">
        <v>19</v>
      </c>
      <c r="F274" t="s">
        <v>68</v>
      </c>
      <c r="G274" t="s">
        <v>22</v>
      </c>
      <c r="H274" t="s">
        <v>74</v>
      </c>
      <c r="I274" t="s">
        <v>24</v>
      </c>
      <c r="J274" t="s">
        <v>52</v>
      </c>
      <c r="K274">
        <v>3</v>
      </c>
      <c r="L274">
        <v>18000</v>
      </c>
      <c r="M274">
        <v>5</v>
      </c>
      <c r="N274">
        <v>51300</v>
      </c>
      <c r="O274">
        <v>33000</v>
      </c>
      <c r="P274">
        <v>18300</v>
      </c>
      <c r="Q274" t="s">
        <v>64</v>
      </c>
      <c r="R274" t="s">
        <v>38</v>
      </c>
    </row>
    <row r="275" spans="1:18" x14ac:dyDescent="0.2">
      <c r="A275" t="s">
        <v>343</v>
      </c>
      <c r="B275" s="1">
        <v>45785</v>
      </c>
      <c r="C275" t="s">
        <v>35</v>
      </c>
      <c r="D275" t="s">
        <v>20</v>
      </c>
      <c r="E275">
        <v>25</v>
      </c>
      <c r="F275" t="s">
        <v>42</v>
      </c>
      <c r="G275" t="s">
        <v>43</v>
      </c>
      <c r="H275" t="s">
        <v>60</v>
      </c>
      <c r="I275" t="s">
        <v>31</v>
      </c>
      <c r="J275" t="s">
        <v>25</v>
      </c>
      <c r="K275">
        <v>1</v>
      </c>
      <c r="L275">
        <v>15000</v>
      </c>
      <c r="M275">
        <v>0</v>
      </c>
      <c r="N275">
        <v>15000</v>
      </c>
      <c r="O275">
        <v>9000</v>
      </c>
      <c r="P275">
        <v>6000</v>
      </c>
      <c r="Q275" t="s">
        <v>26</v>
      </c>
      <c r="R275" t="s">
        <v>33</v>
      </c>
    </row>
    <row r="276" spans="1:18" x14ac:dyDescent="0.2">
      <c r="A276" t="s">
        <v>344</v>
      </c>
      <c r="B276" s="1">
        <v>46002</v>
      </c>
      <c r="C276" t="s">
        <v>19</v>
      </c>
      <c r="D276" t="s">
        <v>41</v>
      </c>
      <c r="E276">
        <v>39</v>
      </c>
      <c r="F276" t="s">
        <v>68</v>
      </c>
      <c r="G276" t="s">
        <v>36</v>
      </c>
      <c r="H276" t="s">
        <v>37</v>
      </c>
      <c r="I276" t="s">
        <v>45</v>
      </c>
      <c r="J276" t="s">
        <v>25</v>
      </c>
      <c r="K276">
        <v>3</v>
      </c>
      <c r="L276">
        <v>8000</v>
      </c>
      <c r="M276">
        <v>10</v>
      </c>
      <c r="N276">
        <v>21600</v>
      </c>
      <c r="O276">
        <v>13500</v>
      </c>
      <c r="P276">
        <v>8100</v>
      </c>
      <c r="Q276" t="s">
        <v>47</v>
      </c>
      <c r="R276" t="s">
        <v>33</v>
      </c>
    </row>
    <row r="277" spans="1:18" x14ac:dyDescent="0.2">
      <c r="A277" t="s">
        <v>345</v>
      </c>
      <c r="B277" s="1">
        <v>45950</v>
      </c>
      <c r="C277" t="s">
        <v>91</v>
      </c>
      <c r="D277" t="s">
        <v>20</v>
      </c>
      <c r="E277">
        <v>27</v>
      </c>
      <c r="F277" t="s">
        <v>30</v>
      </c>
      <c r="G277" t="s">
        <v>50</v>
      </c>
      <c r="H277" t="s">
        <v>51</v>
      </c>
      <c r="I277" t="s">
        <v>71</v>
      </c>
      <c r="J277" t="s">
        <v>52</v>
      </c>
      <c r="K277">
        <v>1</v>
      </c>
      <c r="L277">
        <v>16000</v>
      </c>
      <c r="M277">
        <v>10</v>
      </c>
      <c r="N277">
        <v>14400</v>
      </c>
      <c r="O277">
        <v>10000</v>
      </c>
      <c r="P277">
        <v>4400</v>
      </c>
      <c r="Q277" t="s">
        <v>26</v>
      </c>
      <c r="R277" t="s">
        <v>27</v>
      </c>
    </row>
    <row r="278" spans="1:18" x14ac:dyDescent="0.2">
      <c r="A278" t="s">
        <v>346</v>
      </c>
      <c r="B278" s="1">
        <v>45955</v>
      </c>
      <c r="C278" t="s">
        <v>81</v>
      </c>
      <c r="D278" t="s">
        <v>41</v>
      </c>
      <c r="E278">
        <v>50</v>
      </c>
      <c r="F278" t="s">
        <v>42</v>
      </c>
      <c r="G278" t="s">
        <v>50</v>
      </c>
      <c r="H278" t="s">
        <v>57</v>
      </c>
      <c r="I278" t="s">
        <v>45</v>
      </c>
      <c r="J278" t="s">
        <v>32</v>
      </c>
      <c r="K278">
        <v>2</v>
      </c>
      <c r="L278">
        <v>14000</v>
      </c>
      <c r="M278">
        <v>0</v>
      </c>
      <c r="N278">
        <v>28000</v>
      </c>
      <c r="O278">
        <v>17000</v>
      </c>
      <c r="P278">
        <v>11000</v>
      </c>
      <c r="Q278" t="s">
        <v>47</v>
      </c>
      <c r="R278" t="s">
        <v>33</v>
      </c>
    </row>
    <row r="279" spans="1:18" x14ac:dyDescent="0.2">
      <c r="A279" t="s">
        <v>347</v>
      </c>
      <c r="B279" s="1">
        <v>46004</v>
      </c>
      <c r="C279" t="s">
        <v>81</v>
      </c>
      <c r="D279" t="s">
        <v>20</v>
      </c>
      <c r="E279">
        <v>32</v>
      </c>
      <c r="F279" t="s">
        <v>49</v>
      </c>
      <c r="G279" t="s">
        <v>43</v>
      </c>
      <c r="H279" t="s">
        <v>44</v>
      </c>
      <c r="I279" t="s">
        <v>24</v>
      </c>
      <c r="J279" t="s">
        <v>46</v>
      </c>
      <c r="K279">
        <v>4</v>
      </c>
      <c r="L279">
        <v>20000</v>
      </c>
      <c r="M279">
        <v>15</v>
      </c>
      <c r="N279">
        <v>68000</v>
      </c>
      <c r="O279">
        <v>48000</v>
      </c>
      <c r="P279">
        <v>20000</v>
      </c>
      <c r="Q279" t="s">
        <v>47</v>
      </c>
      <c r="R279" t="s">
        <v>58</v>
      </c>
    </row>
    <row r="280" spans="1:18" x14ac:dyDescent="0.2">
      <c r="A280" t="s">
        <v>348</v>
      </c>
      <c r="B280" s="1">
        <v>45764</v>
      </c>
      <c r="C280" t="s">
        <v>54</v>
      </c>
      <c r="D280" t="s">
        <v>41</v>
      </c>
      <c r="E280">
        <v>55</v>
      </c>
      <c r="F280" t="s">
        <v>68</v>
      </c>
      <c r="G280" t="s">
        <v>22</v>
      </c>
      <c r="H280" t="s">
        <v>23</v>
      </c>
      <c r="I280" t="s">
        <v>24</v>
      </c>
      <c r="J280" t="s">
        <v>52</v>
      </c>
      <c r="K280">
        <v>2</v>
      </c>
      <c r="L280">
        <v>15000</v>
      </c>
      <c r="M280">
        <v>5</v>
      </c>
      <c r="N280">
        <v>28500</v>
      </c>
      <c r="O280">
        <v>18000</v>
      </c>
      <c r="P280">
        <v>10500</v>
      </c>
      <c r="Q280" t="s">
        <v>64</v>
      </c>
      <c r="R280" t="s">
        <v>38</v>
      </c>
    </row>
    <row r="281" spans="1:18" x14ac:dyDescent="0.2">
      <c r="A281" t="s">
        <v>349</v>
      </c>
      <c r="B281" s="1">
        <v>45767</v>
      </c>
      <c r="C281" t="s">
        <v>35</v>
      </c>
      <c r="D281" t="s">
        <v>20</v>
      </c>
      <c r="E281">
        <v>22</v>
      </c>
      <c r="F281" t="s">
        <v>21</v>
      </c>
      <c r="G281" t="s">
        <v>50</v>
      </c>
      <c r="H281" t="s">
        <v>57</v>
      </c>
      <c r="I281" t="s">
        <v>24</v>
      </c>
      <c r="J281" t="s">
        <v>95</v>
      </c>
      <c r="K281">
        <v>1</v>
      </c>
      <c r="L281">
        <v>14000</v>
      </c>
      <c r="M281">
        <v>0</v>
      </c>
      <c r="N281">
        <v>14000</v>
      </c>
      <c r="O281">
        <v>8500</v>
      </c>
      <c r="P281">
        <v>5500</v>
      </c>
      <c r="Q281" t="s">
        <v>26</v>
      </c>
      <c r="R281" t="s">
        <v>58</v>
      </c>
    </row>
    <row r="282" spans="1:18" x14ac:dyDescent="0.2">
      <c r="A282" t="s">
        <v>350</v>
      </c>
      <c r="B282" s="1">
        <v>45986</v>
      </c>
      <c r="C282" t="s">
        <v>29</v>
      </c>
      <c r="D282" t="s">
        <v>41</v>
      </c>
      <c r="E282">
        <v>38</v>
      </c>
      <c r="F282" t="s">
        <v>21</v>
      </c>
      <c r="G282" t="s">
        <v>43</v>
      </c>
      <c r="H282" t="s">
        <v>60</v>
      </c>
      <c r="I282" t="s">
        <v>24</v>
      </c>
      <c r="J282" t="s">
        <v>95</v>
      </c>
      <c r="K282">
        <v>1</v>
      </c>
      <c r="L282">
        <v>15000</v>
      </c>
      <c r="M282">
        <v>10</v>
      </c>
      <c r="N282">
        <v>13500</v>
      </c>
      <c r="O282">
        <v>9000</v>
      </c>
      <c r="P282">
        <v>4500</v>
      </c>
      <c r="Q282" t="s">
        <v>64</v>
      </c>
      <c r="R282" t="s">
        <v>58</v>
      </c>
    </row>
    <row r="283" spans="1:18" x14ac:dyDescent="0.2">
      <c r="A283" t="s">
        <v>351</v>
      </c>
      <c r="B283" s="1">
        <v>45820</v>
      </c>
      <c r="C283" t="s">
        <v>56</v>
      </c>
      <c r="D283" t="s">
        <v>41</v>
      </c>
      <c r="E283">
        <v>32</v>
      </c>
      <c r="F283" t="s">
        <v>21</v>
      </c>
      <c r="G283" t="s">
        <v>22</v>
      </c>
      <c r="H283" t="s">
        <v>74</v>
      </c>
      <c r="I283" t="s">
        <v>45</v>
      </c>
      <c r="J283" t="s">
        <v>46</v>
      </c>
      <c r="K283">
        <v>1</v>
      </c>
      <c r="L283">
        <v>18000</v>
      </c>
      <c r="M283">
        <v>5</v>
      </c>
      <c r="N283">
        <v>17100</v>
      </c>
      <c r="O283">
        <v>11000</v>
      </c>
      <c r="P283">
        <v>6100</v>
      </c>
      <c r="Q283" t="s">
        <v>47</v>
      </c>
      <c r="R283" t="s">
        <v>33</v>
      </c>
    </row>
    <row r="284" spans="1:18" x14ac:dyDescent="0.2">
      <c r="A284" t="s">
        <v>352</v>
      </c>
      <c r="B284" s="1">
        <v>45852</v>
      </c>
      <c r="C284" t="s">
        <v>89</v>
      </c>
      <c r="D284" t="s">
        <v>41</v>
      </c>
      <c r="E284">
        <v>30</v>
      </c>
      <c r="F284" t="s">
        <v>21</v>
      </c>
      <c r="G284" t="s">
        <v>43</v>
      </c>
      <c r="H284" t="s">
        <v>44</v>
      </c>
      <c r="I284" t="s">
        <v>31</v>
      </c>
      <c r="J284" t="s">
        <v>25</v>
      </c>
      <c r="K284">
        <v>4</v>
      </c>
      <c r="L284">
        <v>20000</v>
      </c>
      <c r="M284">
        <v>5</v>
      </c>
      <c r="N284">
        <v>76000</v>
      </c>
      <c r="O284">
        <v>48000</v>
      </c>
      <c r="P284">
        <v>28000</v>
      </c>
      <c r="Q284" t="s">
        <v>26</v>
      </c>
      <c r="R284" t="s">
        <v>27</v>
      </c>
    </row>
    <row r="285" spans="1:18" x14ac:dyDescent="0.2">
      <c r="A285" t="s">
        <v>353</v>
      </c>
      <c r="B285" s="1">
        <v>46004</v>
      </c>
      <c r="C285" t="s">
        <v>78</v>
      </c>
      <c r="D285" t="s">
        <v>20</v>
      </c>
      <c r="E285">
        <v>51</v>
      </c>
      <c r="F285" t="s">
        <v>21</v>
      </c>
      <c r="G285" t="s">
        <v>36</v>
      </c>
      <c r="H285" t="s">
        <v>76</v>
      </c>
      <c r="I285" t="s">
        <v>24</v>
      </c>
      <c r="J285" t="s">
        <v>95</v>
      </c>
      <c r="K285">
        <v>4</v>
      </c>
      <c r="L285">
        <v>10000</v>
      </c>
      <c r="M285">
        <v>5</v>
      </c>
      <c r="N285">
        <v>38000</v>
      </c>
      <c r="O285">
        <v>24000</v>
      </c>
      <c r="P285">
        <v>14000</v>
      </c>
      <c r="Q285" t="s">
        <v>64</v>
      </c>
      <c r="R285" t="s">
        <v>27</v>
      </c>
    </row>
    <row r="286" spans="1:18" x14ac:dyDescent="0.2">
      <c r="A286" t="s">
        <v>354</v>
      </c>
      <c r="B286" s="1">
        <v>45772</v>
      </c>
      <c r="C286" t="s">
        <v>73</v>
      </c>
      <c r="D286" t="s">
        <v>41</v>
      </c>
      <c r="E286">
        <v>26</v>
      </c>
      <c r="F286" t="s">
        <v>42</v>
      </c>
      <c r="G286" t="s">
        <v>50</v>
      </c>
      <c r="H286" t="s">
        <v>51</v>
      </c>
      <c r="I286" t="s">
        <v>71</v>
      </c>
      <c r="J286" t="s">
        <v>25</v>
      </c>
      <c r="K286">
        <v>1</v>
      </c>
      <c r="L286">
        <v>16000</v>
      </c>
      <c r="M286">
        <v>10</v>
      </c>
      <c r="N286">
        <v>14400</v>
      </c>
      <c r="O286">
        <v>10000</v>
      </c>
      <c r="P286">
        <v>4400</v>
      </c>
      <c r="Q286" t="s">
        <v>26</v>
      </c>
      <c r="R286" t="s">
        <v>58</v>
      </c>
    </row>
    <row r="287" spans="1:18" x14ac:dyDescent="0.2">
      <c r="A287" t="s">
        <v>355</v>
      </c>
      <c r="B287" s="1">
        <v>46003</v>
      </c>
      <c r="C287" t="s">
        <v>62</v>
      </c>
      <c r="D287" t="s">
        <v>41</v>
      </c>
      <c r="E287">
        <v>25</v>
      </c>
      <c r="F287" t="s">
        <v>42</v>
      </c>
      <c r="G287" t="s">
        <v>22</v>
      </c>
      <c r="H287" t="s">
        <v>74</v>
      </c>
      <c r="I287" t="s">
        <v>24</v>
      </c>
      <c r="J287" t="s">
        <v>95</v>
      </c>
      <c r="K287">
        <v>3</v>
      </c>
      <c r="L287">
        <v>18000</v>
      </c>
      <c r="M287">
        <v>0</v>
      </c>
      <c r="N287">
        <v>54000</v>
      </c>
      <c r="O287">
        <v>33000</v>
      </c>
      <c r="P287">
        <v>21000</v>
      </c>
      <c r="Q287" t="s">
        <v>64</v>
      </c>
      <c r="R287" t="s">
        <v>38</v>
      </c>
    </row>
    <row r="288" spans="1:18" x14ac:dyDescent="0.2">
      <c r="A288" t="s">
        <v>356</v>
      </c>
      <c r="B288" s="1">
        <v>45801</v>
      </c>
      <c r="C288" t="s">
        <v>89</v>
      </c>
      <c r="D288" t="s">
        <v>20</v>
      </c>
      <c r="E288">
        <v>30</v>
      </c>
      <c r="F288" t="s">
        <v>30</v>
      </c>
      <c r="G288" t="s">
        <v>43</v>
      </c>
      <c r="H288" t="s">
        <v>60</v>
      </c>
      <c r="I288" t="s">
        <v>24</v>
      </c>
      <c r="J288" t="s">
        <v>66</v>
      </c>
      <c r="K288">
        <v>1</v>
      </c>
      <c r="L288">
        <v>15000</v>
      </c>
      <c r="M288">
        <v>10</v>
      </c>
      <c r="N288">
        <v>13500</v>
      </c>
      <c r="O288">
        <v>9000</v>
      </c>
      <c r="P288">
        <v>4500</v>
      </c>
      <c r="Q288" t="s">
        <v>64</v>
      </c>
      <c r="R288" t="s">
        <v>38</v>
      </c>
    </row>
    <row r="289" spans="1:18" x14ac:dyDescent="0.2">
      <c r="A289" t="s">
        <v>357</v>
      </c>
      <c r="B289" s="1">
        <v>45831</v>
      </c>
      <c r="C289" t="s">
        <v>19</v>
      </c>
      <c r="D289" t="s">
        <v>41</v>
      </c>
      <c r="E289">
        <v>53</v>
      </c>
      <c r="F289" t="s">
        <v>21</v>
      </c>
      <c r="G289" t="s">
        <v>50</v>
      </c>
      <c r="H289" t="s">
        <v>51</v>
      </c>
      <c r="I289" t="s">
        <v>31</v>
      </c>
      <c r="J289" t="s">
        <v>25</v>
      </c>
      <c r="K289">
        <v>3</v>
      </c>
      <c r="L289">
        <v>16000</v>
      </c>
      <c r="M289">
        <v>10</v>
      </c>
      <c r="N289">
        <v>43200</v>
      </c>
      <c r="O289">
        <v>30000</v>
      </c>
      <c r="P289">
        <v>13200</v>
      </c>
      <c r="Q289" t="s">
        <v>64</v>
      </c>
      <c r="R289" t="s">
        <v>27</v>
      </c>
    </row>
    <row r="290" spans="1:18" x14ac:dyDescent="0.2">
      <c r="A290" t="s">
        <v>358</v>
      </c>
      <c r="B290" s="1">
        <v>46013</v>
      </c>
      <c r="C290" t="s">
        <v>86</v>
      </c>
      <c r="D290" t="s">
        <v>20</v>
      </c>
      <c r="E290">
        <v>55</v>
      </c>
      <c r="F290" t="s">
        <v>68</v>
      </c>
      <c r="G290" t="s">
        <v>22</v>
      </c>
      <c r="H290" t="s">
        <v>74</v>
      </c>
      <c r="I290" t="s">
        <v>24</v>
      </c>
      <c r="J290" t="s">
        <v>46</v>
      </c>
      <c r="K290">
        <v>3</v>
      </c>
      <c r="L290">
        <v>18000</v>
      </c>
      <c r="M290">
        <v>0</v>
      </c>
      <c r="N290">
        <v>54000</v>
      </c>
      <c r="O290">
        <v>33000</v>
      </c>
      <c r="P290">
        <v>21000</v>
      </c>
      <c r="Q290" t="s">
        <v>26</v>
      </c>
      <c r="R290" t="s">
        <v>58</v>
      </c>
    </row>
    <row r="291" spans="1:18" x14ac:dyDescent="0.2">
      <c r="A291" t="s">
        <v>359</v>
      </c>
      <c r="B291" s="1">
        <v>45661</v>
      </c>
      <c r="C291" t="s">
        <v>54</v>
      </c>
      <c r="D291" t="s">
        <v>20</v>
      </c>
      <c r="E291">
        <v>21</v>
      </c>
      <c r="F291" t="s">
        <v>68</v>
      </c>
      <c r="G291" t="s">
        <v>22</v>
      </c>
      <c r="H291" t="s">
        <v>74</v>
      </c>
      <c r="I291" t="s">
        <v>24</v>
      </c>
      <c r="J291" t="s">
        <v>95</v>
      </c>
      <c r="K291">
        <v>2</v>
      </c>
      <c r="L291">
        <v>18000</v>
      </c>
      <c r="M291">
        <v>15</v>
      </c>
      <c r="N291">
        <v>30600</v>
      </c>
      <c r="O291">
        <v>22000</v>
      </c>
      <c r="P291">
        <v>8600</v>
      </c>
      <c r="Q291" t="s">
        <v>64</v>
      </c>
      <c r="R291" t="s">
        <v>33</v>
      </c>
    </row>
    <row r="292" spans="1:18" x14ac:dyDescent="0.2">
      <c r="A292" t="s">
        <v>360</v>
      </c>
      <c r="B292" s="1">
        <v>45695</v>
      </c>
      <c r="C292" t="s">
        <v>35</v>
      </c>
      <c r="D292" t="s">
        <v>41</v>
      </c>
      <c r="E292">
        <v>34</v>
      </c>
      <c r="F292" t="s">
        <v>49</v>
      </c>
      <c r="G292" t="s">
        <v>69</v>
      </c>
      <c r="H292" t="s">
        <v>70</v>
      </c>
      <c r="I292" t="s">
        <v>45</v>
      </c>
      <c r="J292" t="s">
        <v>95</v>
      </c>
      <c r="K292">
        <v>3</v>
      </c>
      <c r="L292">
        <v>22000</v>
      </c>
      <c r="M292">
        <v>0</v>
      </c>
      <c r="N292">
        <v>66000</v>
      </c>
      <c r="O292">
        <v>42000</v>
      </c>
      <c r="P292">
        <v>24000</v>
      </c>
      <c r="Q292" t="s">
        <v>64</v>
      </c>
      <c r="R292" t="s">
        <v>38</v>
      </c>
    </row>
    <row r="293" spans="1:18" x14ac:dyDescent="0.2">
      <c r="A293" t="s">
        <v>361</v>
      </c>
      <c r="B293" s="1">
        <v>45921</v>
      </c>
      <c r="C293" t="s">
        <v>29</v>
      </c>
      <c r="D293" t="s">
        <v>20</v>
      </c>
      <c r="E293">
        <v>39</v>
      </c>
      <c r="F293" t="s">
        <v>68</v>
      </c>
      <c r="G293" t="s">
        <v>22</v>
      </c>
      <c r="H293" t="s">
        <v>23</v>
      </c>
      <c r="I293" t="s">
        <v>31</v>
      </c>
      <c r="J293" t="s">
        <v>52</v>
      </c>
      <c r="K293">
        <v>3</v>
      </c>
      <c r="L293">
        <v>15000</v>
      </c>
      <c r="M293">
        <v>10</v>
      </c>
      <c r="N293">
        <v>40500</v>
      </c>
      <c r="O293">
        <v>27000</v>
      </c>
      <c r="P293">
        <v>13500</v>
      </c>
      <c r="Q293" t="s">
        <v>47</v>
      </c>
      <c r="R293" t="s">
        <v>58</v>
      </c>
    </row>
    <row r="294" spans="1:18" x14ac:dyDescent="0.2">
      <c r="A294" t="s">
        <v>362</v>
      </c>
      <c r="B294" s="1">
        <v>46000</v>
      </c>
      <c r="C294" t="s">
        <v>73</v>
      </c>
      <c r="D294" t="s">
        <v>20</v>
      </c>
      <c r="E294">
        <v>45</v>
      </c>
      <c r="F294" t="s">
        <v>21</v>
      </c>
      <c r="G294" t="s">
        <v>69</v>
      </c>
      <c r="H294" t="s">
        <v>70</v>
      </c>
      <c r="I294" t="s">
        <v>45</v>
      </c>
      <c r="J294" t="s">
        <v>95</v>
      </c>
      <c r="K294">
        <v>1</v>
      </c>
      <c r="L294">
        <v>22000</v>
      </c>
      <c r="M294">
        <v>15</v>
      </c>
      <c r="N294">
        <v>18700</v>
      </c>
      <c r="O294">
        <v>14000</v>
      </c>
      <c r="P294">
        <v>4700</v>
      </c>
      <c r="Q294" t="s">
        <v>64</v>
      </c>
      <c r="R294" t="s">
        <v>38</v>
      </c>
    </row>
    <row r="295" spans="1:18" x14ac:dyDescent="0.2">
      <c r="A295" t="s">
        <v>363</v>
      </c>
      <c r="B295" s="1">
        <v>46002</v>
      </c>
      <c r="C295" t="s">
        <v>56</v>
      </c>
      <c r="D295" t="s">
        <v>20</v>
      </c>
      <c r="E295">
        <v>31</v>
      </c>
      <c r="F295" t="s">
        <v>68</v>
      </c>
      <c r="G295" t="s">
        <v>43</v>
      </c>
      <c r="H295" t="s">
        <v>44</v>
      </c>
      <c r="I295" t="s">
        <v>45</v>
      </c>
      <c r="J295" t="s">
        <v>25</v>
      </c>
      <c r="K295">
        <v>3</v>
      </c>
      <c r="L295">
        <v>20000</v>
      </c>
      <c r="M295">
        <v>15</v>
      </c>
      <c r="N295">
        <v>51000</v>
      </c>
      <c r="O295">
        <v>36000</v>
      </c>
      <c r="P295">
        <v>15000</v>
      </c>
      <c r="Q295" t="s">
        <v>47</v>
      </c>
      <c r="R295" t="s">
        <v>27</v>
      </c>
    </row>
    <row r="296" spans="1:18" x14ac:dyDescent="0.2">
      <c r="A296" t="s">
        <v>364</v>
      </c>
      <c r="B296" s="1">
        <v>45976</v>
      </c>
      <c r="C296" t="s">
        <v>89</v>
      </c>
      <c r="D296" t="s">
        <v>20</v>
      </c>
      <c r="E296">
        <v>33</v>
      </c>
      <c r="F296" t="s">
        <v>30</v>
      </c>
      <c r="G296" t="s">
        <v>43</v>
      </c>
      <c r="H296" t="s">
        <v>44</v>
      </c>
      <c r="I296" t="s">
        <v>45</v>
      </c>
      <c r="J296" t="s">
        <v>66</v>
      </c>
      <c r="K296">
        <v>1</v>
      </c>
      <c r="L296">
        <v>20000</v>
      </c>
      <c r="M296">
        <v>0</v>
      </c>
      <c r="N296">
        <v>20000</v>
      </c>
      <c r="O296">
        <v>12000</v>
      </c>
      <c r="P296">
        <v>8000</v>
      </c>
      <c r="Q296" t="s">
        <v>47</v>
      </c>
      <c r="R296" t="s">
        <v>33</v>
      </c>
    </row>
    <row r="297" spans="1:18" x14ac:dyDescent="0.2">
      <c r="A297" t="s">
        <v>365</v>
      </c>
      <c r="B297" s="1">
        <v>45854</v>
      </c>
      <c r="C297" t="s">
        <v>40</v>
      </c>
      <c r="D297" t="s">
        <v>41</v>
      </c>
      <c r="E297">
        <v>27</v>
      </c>
      <c r="F297" t="s">
        <v>49</v>
      </c>
      <c r="G297" t="s">
        <v>36</v>
      </c>
      <c r="H297" t="s">
        <v>37</v>
      </c>
      <c r="I297" t="s">
        <v>71</v>
      </c>
      <c r="J297" t="s">
        <v>46</v>
      </c>
      <c r="K297">
        <v>3</v>
      </c>
      <c r="L297">
        <v>8000</v>
      </c>
      <c r="M297">
        <v>15</v>
      </c>
      <c r="N297">
        <v>20400</v>
      </c>
      <c r="O297">
        <v>13500</v>
      </c>
      <c r="P297">
        <v>6900</v>
      </c>
      <c r="Q297" t="s">
        <v>64</v>
      </c>
      <c r="R297" t="s">
        <v>27</v>
      </c>
    </row>
    <row r="298" spans="1:18" x14ac:dyDescent="0.2">
      <c r="A298" t="s">
        <v>366</v>
      </c>
      <c r="B298" s="1">
        <v>45784</v>
      </c>
      <c r="C298" t="s">
        <v>54</v>
      </c>
      <c r="D298" t="s">
        <v>41</v>
      </c>
      <c r="E298">
        <v>29</v>
      </c>
      <c r="F298" t="s">
        <v>68</v>
      </c>
      <c r="G298" t="s">
        <v>50</v>
      </c>
      <c r="H298" t="s">
        <v>51</v>
      </c>
      <c r="I298" t="s">
        <v>45</v>
      </c>
      <c r="J298" t="s">
        <v>46</v>
      </c>
      <c r="K298">
        <v>2</v>
      </c>
      <c r="L298">
        <v>16000</v>
      </c>
      <c r="M298">
        <v>0</v>
      </c>
      <c r="N298">
        <v>32000</v>
      </c>
      <c r="O298">
        <v>20000</v>
      </c>
      <c r="P298">
        <v>12000</v>
      </c>
      <c r="Q298" t="s">
        <v>47</v>
      </c>
      <c r="R298" t="s">
        <v>27</v>
      </c>
    </row>
    <row r="299" spans="1:18" x14ac:dyDescent="0.2">
      <c r="A299" t="s">
        <v>367</v>
      </c>
      <c r="B299" s="1">
        <v>45944</v>
      </c>
      <c r="C299" t="s">
        <v>91</v>
      </c>
      <c r="D299" t="s">
        <v>41</v>
      </c>
      <c r="E299">
        <v>19</v>
      </c>
      <c r="F299" t="s">
        <v>30</v>
      </c>
      <c r="G299" t="s">
        <v>43</v>
      </c>
      <c r="H299" t="s">
        <v>60</v>
      </c>
      <c r="I299" t="s">
        <v>31</v>
      </c>
      <c r="J299" t="s">
        <v>95</v>
      </c>
      <c r="K299">
        <v>1</v>
      </c>
      <c r="L299">
        <v>15000</v>
      </c>
      <c r="M299">
        <v>10</v>
      </c>
      <c r="N299">
        <v>13500</v>
      </c>
      <c r="O299">
        <v>9000</v>
      </c>
      <c r="P299">
        <v>4500</v>
      </c>
      <c r="Q299" t="s">
        <v>26</v>
      </c>
      <c r="R299" t="s">
        <v>38</v>
      </c>
    </row>
    <row r="300" spans="1:18" x14ac:dyDescent="0.2">
      <c r="A300" t="s">
        <v>368</v>
      </c>
      <c r="B300" s="1">
        <v>45850</v>
      </c>
      <c r="C300" t="s">
        <v>29</v>
      </c>
      <c r="D300" t="s">
        <v>41</v>
      </c>
      <c r="E300">
        <v>21</v>
      </c>
      <c r="F300" t="s">
        <v>49</v>
      </c>
      <c r="G300" t="s">
        <v>69</v>
      </c>
      <c r="H300" t="s">
        <v>70</v>
      </c>
      <c r="I300" t="s">
        <v>45</v>
      </c>
      <c r="J300" t="s">
        <v>25</v>
      </c>
      <c r="K300">
        <v>1</v>
      </c>
      <c r="L300">
        <v>22000</v>
      </c>
      <c r="M300">
        <v>15</v>
      </c>
      <c r="N300">
        <v>18700</v>
      </c>
      <c r="O300">
        <v>14000</v>
      </c>
      <c r="P300">
        <v>4700</v>
      </c>
      <c r="Q300" t="s">
        <v>64</v>
      </c>
      <c r="R300" t="s">
        <v>58</v>
      </c>
    </row>
    <row r="301" spans="1:18" x14ac:dyDescent="0.2">
      <c r="A301" t="s">
        <v>369</v>
      </c>
      <c r="B301" s="1">
        <v>45679</v>
      </c>
      <c r="C301" t="s">
        <v>86</v>
      </c>
      <c r="D301" t="s">
        <v>41</v>
      </c>
      <c r="E301">
        <v>54</v>
      </c>
      <c r="F301" t="s">
        <v>68</v>
      </c>
      <c r="G301" t="s">
        <v>69</v>
      </c>
      <c r="H301" t="s">
        <v>82</v>
      </c>
      <c r="I301" t="s">
        <v>31</v>
      </c>
      <c r="J301" t="s">
        <v>32</v>
      </c>
      <c r="K301">
        <v>1</v>
      </c>
      <c r="L301">
        <v>25000</v>
      </c>
      <c r="M301">
        <v>10</v>
      </c>
      <c r="N301">
        <v>22500</v>
      </c>
      <c r="O301">
        <v>17000</v>
      </c>
      <c r="P301">
        <v>5500</v>
      </c>
      <c r="Q301" t="s">
        <v>47</v>
      </c>
      <c r="R301" t="s">
        <v>33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AF6D-A5BB-46BE-A77F-9FCC650E6D80}">
  <dimension ref="N16:V35"/>
  <sheetViews>
    <sheetView showGridLines="0" showRowColHeaders="0" tabSelected="1" zoomScale="98" zoomScaleNormal="99" workbookViewId="0">
      <selection activeCell="N35" sqref="N35"/>
    </sheetView>
  </sheetViews>
  <sheetFormatPr defaultRowHeight="14.25" x14ac:dyDescent="0.2"/>
  <cols>
    <col min="2" max="2" width="12.5" bestFit="1" customWidth="1"/>
    <col min="3" max="17" width="8"/>
    <col min="18" max="18" width="15" style="9" customWidth="1"/>
    <col min="22" max="22" width="15.75" hidden="1" customWidth="1"/>
  </cols>
  <sheetData>
    <row r="16" spans="22:22" x14ac:dyDescent="0.2">
      <c r="V16" s="16">
        <f>GETPIVOTDATA("Sales",Sheet1!$A$3)</f>
        <v>11330700</v>
      </c>
    </row>
    <row r="17" spans="14:22" x14ac:dyDescent="0.2">
      <c r="V17" s="16">
        <f>GETPIVOTDATA("Profit",Sheet2!$A$3)</f>
        <v>3726200</v>
      </c>
    </row>
    <row r="18" spans="14:22" x14ac:dyDescent="0.2">
      <c r="V18" s="9">
        <f>GETPIVOTDATA("Order ID",Sheet3!$A$3)</f>
        <v>300</v>
      </c>
    </row>
    <row r="19" spans="14:22" x14ac:dyDescent="0.2">
      <c r="V19" s="9">
        <f>GETPIVOTDATA("Customer Name",Sheet4!$A$3)</f>
        <v>300</v>
      </c>
    </row>
    <row r="32" spans="14:22" ht="15" x14ac:dyDescent="0.25">
      <c r="N32" s="17" t="s">
        <v>388</v>
      </c>
    </row>
    <row r="35" spans="14:14" ht="15" x14ac:dyDescent="0.2">
      <c r="N35" s="11"/>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Sheet5</vt:lpstr>
      <vt:lpstr>Sheet4</vt:lpstr>
      <vt:lpstr>Sheet6</vt:lpstr>
      <vt:lpstr>Sheet8</vt:lpstr>
      <vt:lpstr>Sheet10</vt:lpstr>
      <vt:lpstr>Sheet9</vt:lpstr>
      <vt:lpstr>Cleaned Data</vt:lpstr>
      <vt:lpstr>BoutiqueSales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Emelda Okafor</cp:lastModifiedBy>
  <dcterms:created xsi:type="dcterms:W3CDTF">2026-07-09T17:16:09Z</dcterms:created>
  <dcterms:modified xsi:type="dcterms:W3CDTF">2026-07-13T20:10:40Z</dcterms:modified>
</cp:coreProperties>
</file>